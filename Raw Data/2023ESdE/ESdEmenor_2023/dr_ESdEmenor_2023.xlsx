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ESdEmenor_2023/"/>
    </mc:Choice>
  </mc:AlternateContent>
  <xr:revisionPtr revIDLastSave="19" documentId="13_ncr:1_{A103DD2B-16F6-49C3-9A38-491B68523FF4}" xr6:coauthVersionLast="47" xr6:coauthVersionMax="47" xr10:uidLastSave="{9B1E03C0-A926-453A-8574-713D619D8D26}"/>
  <bookViews>
    <workbookView xWindow="-108" yWindow="-108" windowWidth="23256" windowHeight="12456" xr2:uid="{00000000-000D-0000-FFFF-FFFF00000000}"/>
  </bookViews>
  <sheets>
    <sheet name="Diseño" sheetId="22" r:id="rId1"/>
    <sheet name="Tablas1" sheetId="2" r:id="rId2"/>
    <sheet name="Tablas2" sheetId="19" r:id="rId3"/>
  </sheets>
  <definedNames>
    <definedName name="_xlnm._FilterDatabase" localSheetId="0" hidden="1">Diseño!$B$1:$B$246</definedName>
    <definedName name="clasificacion">#REF!</definedName>
    <definedName name="_xlnm.Database">#REF!</definedName>
    <definedName name="METADATOS">Diseño!$A$2:$D$242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3" i="22" l="1"/>
  <c r="F4" i="22"/>
  <c r="F5" i="22" s="1"/>
  <c r="F6" i="22" s="1"/>
  <c r="F7" i="22" s="1"/>
  <c r="F8" i="22" s="1"/>
  <c r="G4" i="22" l="1"/>
  <c r="G5" i="22" s="1"/>
  <c r="G6" i="22" s="1"/>
  <c r="G7" i="22" s="1"/>
  <c r="G8" i="22" l="1"/>
  <c r="G9" i="22" s="1"/>
  <c r="G10" i="22" s="1"/>
  <c r="G11" i="22" s="1"/>
  <c r="G12" i="22" s="1"/>
  <c r="F9" i="22"/>
  <c r="F10" i="22" s="1"/>
  <c r="F11" i="22" s="1"/>
  <c r="F12" i="22" s="1"/>
  <c r="G13" i="22" l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F13" i="22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G35" i="22" l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F28" i="22"/>
  <c r="F29" i="22" s="1"/>
  <c r="F30" i="22" s="1"/>
  <c r="F31" i="22" s="1"/>
  <c r="F32" i="22" s="1"/>
  <c r="F33" i="22" s="1"/>
  <c r="F34" i="22" s="1"/>
  <c r="F35" i="22" s="1"/>
  <c r="G65" i="22" l="1"/>
  <c r="G66" i="22" s="1"/>
  <c r="G67" i="22" s="1"/>
  <c r="F36" i="22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G68" i="22" l="1"/>
  <c r="G69" i="22" s="1"/>
  <c r="G70" i="22" s="1"/>
  <c r="G71" i="22" s="1"/>
  <c r="G72" i="22" s="1"/>
  <c r="G73" i="22" s="1"/>
  <c r="G74" i="22" s="1"/>
  <c r="G75" i="22" s="1"/>
  <c r="G76" i="22" s="1"/>
  <c r="G77" i="22" s="1"/>
  <c r="F64" i="22"/>
  <c r="F65" i="22" s="1"/>
  <c r="F66" i="22" s="1"/>
  <c r="F67" i="22" s="1"/>
  <c r="G78" i="22" l="1"/>
  <c r="G79" i="22" s="1"/>
  <c r="G80" i="22" s="1"/>
  <c r="G81" i="22" s="1"/>
  <c r="G82" i="22" s="1"/>
  <c r="G83" i="22" s="1"/>
  <c r="G84" i="22" s="1"/>
  <c r="F68" i="22"/>
  <c r="F69" i="22" s="1"/>
  <c r="F70" i="22" s="1"/>
  <c r="F71" i="22" s="1"/>
  <c r="F72" i="22" s="1"/>
  <c r="F73" i="22" s="1"/>
  <c r="F74" i="22" s="1"/>
  <c r="F75" i="22" s="1"/>
  <c r="F76" i="22" s="1"/>
  <c r="F77" i="22" s="1"/>
  <c r="F78" i="22" l="1"/>
  <c r="F79" i="22" s="1"/>
  <c r="F80" i="22" s="1"/>
  <c r="F81" i="22" s="1"/>
  <c r="F82" i="22" s="1"/>
  <c r="F83" i="22" s="1"/>
  <c r="F84" i="22" s="1"/>
  <c r="G85" i="22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l="1"/>
  <c r="G98" i="22" s="1"/>
  <c r="G99" i="22" s="1"/>
  <c r="G100" i="22" s="1"/>
  <c r="G101" i="22" s="1"/>
  <c r="G102" i="22" s="1"/>
  <c r="G103" i="22" s="1"/>
  <c r="G104" i="22" s="1"/>
  <c r="G105" i="22" s="1"/>
  <c r="F85" i="22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G106" i="22" l="1"/>
  <c r="G107" i="22" s="1"/>
  <c r="G108" i="22" s="1"/>
  <c r="G109" i="22" s="1"/>
  <c r="G110" i="22" s="1"/>
  <c r="G111" i="22" s="1"/>
  <c r="G112" i="22" s="1"/>
  <c r="G113" i="22" s="1"/>
  <c r="G114" i="22" s="1"/>
  <c r="F97" i="22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G115" i="22" l="1"/>
  <c r="G116" i="22" s="1"/>
  <c r="G117" i="22" s="1"/>
  <c r="F108" i="22"/>
  <c r="G118" i="22" l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F109" i="22"/>
  <c r="F110" i="22" s="1"/>
  <c r="F111" i="22" s="1"/>
  <c r="F112" i="22" s="1"/>
  <c r="F113" i="22" s="1"/>
  <c r="F114" i="22" s="1"/>
  <c r="F115" i="22" s="1"/>
  <c r="F116" i="22" s="1"/>
  <c r="F117" i="22" s="1"/>
  <c r="G139" i="22" l="1"/>
  <c r="G140" i="22" s="1"/>
  <c r="G141" i="22" s="1"/>
  <c r="F118" i="22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G142" i="22" l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F138" i="22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G173" i="22" l="1"/>
  <c r="G174" i="22" s="1"/>
  <c r="G175" i="22" s="1"/>
  <c r="G176" i="22" s="1"/>
  <c r="G177" i="22" l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F173" i="22"/>
  <c r="F174" i="22" s="1"/>
  <c r="F175" i="22" s="1"/>
  <c r="F176" i="22" s="1"/>
  <c r="G226" i="22" l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F177" i="22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F199" i="22" s="1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l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</calcChain>
</file>

<file path=xl/sharedStrings.xml><?xml version="1.0" encoding="utf-8"?>
<sst xmlns="http://schemas.openxmlformats.org/spreadsheetml/2006/main" count="1762" uniqueCount="724">
  <si>
    <t>Frecuencia de consumo de comida rápida (pollo frito, bocadillos, pizzas, hamburguesas)</t>
  </si>
  <si>
    <t>Frecuencia de consumo de aperitivos o comidas saladas de picar (patatas fritas, ganchitos, galletitas saladas)</t>
  </si>
  <si>
    <t>Nacidos en España</t>
  </si>
  <si>
    <t>Nacidos en el extranjero</t>
  </si>
  <si>
    <t>Gravemente limitado/a</t>
  </si>
  <si>
    <t>Nada limitado/a</t>
  </si>
  <si>
    <t>Limitado/a, pero no gravemente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</si>
  <si>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</si>
  <si>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</si>
  <si>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</si>
  <si>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</si>
  <si>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Lugar de la última consulta en estas cuatro semanas</t>
  </si>
  <si>
    <t>Motivo principal de esta última consulta</t>
  </si>
  <si>
    <t>Dependencia funcional del médico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</si>
  <si>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</si>
  <si>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</si>
  <si>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</si>
  <si>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</si>
  <si>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</si>
  <si>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</si>
  <si>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</si>
  <si>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</si>
  <si>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</si>
  <si>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</si>
  <si>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</si>
  <si>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</si>
  <si>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</si>
  <si>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Estado de dientes y muelas: Le sangran las encías al cepillarse o espontáneamente</t>
  </si>
  <si>
    <t>Nacionalidad: No contesta</t>
  </si>
  <si>
    <t>A</t>
  </si>
  <si>
    <t>Frecuencia de consumo de verduras, ensaladas y hortalizas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</si>
  <si>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</si>
  <si>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</si>
  <si>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</si>
  <si>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</si>
  <si>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</si>
  <si>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</si>
  <si>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</si>
  <si>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</si>
  <si>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</si>
  <si>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</si>
  <si>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</si>
  <si>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Menos de una hora al día</t>
  </si>
  <si>
    <t>Frecuencia de consumo de zumo natural de frutas o verduras</t>
  </si>
  <si>
    <t>A su propio cargo o de su hogar</t>
  </si>
  <si>
    <t>A cargo de otras personas, organismos o instituciones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</si>
  <si>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</si>
  <si>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</si>
  <si>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</si>
  <si>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</si>
  <si>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</si>
  <si>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</si>
  <si>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</si>
  <si>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</si>
  <si>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 xml:space="preserve">Tipo de asistencia: Empastes (obturaciones), endodoncias </t>
  </si>
  <si>
    <t>Centro de Salud / Consultorio</t>
  </si>
  <si>
    <t>Ambulatorio / Centro de especialidades</t>
  </si>
  <si>
    <t>¿A cargo de quién corrieron los gastos de hospitalización?</t>
  </si>
  <si>
    <t>Utilización del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</si>
  <si>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</si>
  <si>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</si>
  <si>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</si>
  <si>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</si>
  <si>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</si>
  <si>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</si>
  <si>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</si>
  <si>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N</t>
  </si>
  <si>
    <t>Frecuencia con la que realiza alguna actividad física en su tiempo libre</t>
  </si>
  <si>
    <t>Nunca</t>
  </si>
  <si>
    <t>Una o dos veces a la semana</t>
  </si>
  <si>
    <t>Menos de una vez a la semana</t>
  </si>
  <si>
    <t>Mutualidad obligatoria (MUFACE, ISFAS, etc.)</t>
  </si>
  <si>
    <t>Sociedad médica privada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</si>
  <si>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</si>
  <si>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</si>
  <si>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</si>
  <si>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</si>
  <si>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</si>
  <si>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</si>
  <si>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</si>
  <si>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</si>
  <si>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</si>
  <si>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</si>
  <si>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</si>
  <si>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</si>
  <si>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</si>
  <si>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</si>
  <si>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</si>
  <si>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</si>
  <si>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</si>
  <si>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</si>
  <si>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</si>
  <si>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</si>
  <si>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</si>
  <si>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</si>
  <si>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</si>
  <si>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</si>
  <si>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</si>
  <si>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</si>
  <si>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</si>
  <si>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</si>
  <si>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</si>
  <si>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Tipo de servicio de urgencias utilizado la última vez</t>
  </si>
  <si>
    <t>Muy bueno</t>
  </si>
  <si>
    <t>Bueno</t>
  </si>
  <si>
    <t>Regular</t>
  </si>
  <si>
    <t>Malo</t>
  </si>
  <si>
    <t>Muy malo</t>
  </si>
  <si>
    <t>Ha padecido alguna vez: Diabetes</t>
  </si>
  <si>
    <t>Modalidad de seguro sanitario: Sanidad Pública (Seguridad Social)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</si>
  <si>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</si>
  <si>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</si>
  <si>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</si>
  <si>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</si>
  <si>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</si>
  <si>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Servicio de urgencias de un hospital</t>
  </si>
  <si>
    <t>Ha padecido alguna vez: Lesiones o defectos permanentes causados por un accidente</t>
  </si>
  <si>
    <t>País de nacimiento</t>
  </si>
  <si>
    <t>Médico de familia o médico general</t>
  </si>
  <si>
    <t>Consulta externa de un hospital</t>
  </si>
  <si>
    <t>Servicio de urgencias no hospitalario</t>
  </si>
  <si>
    <t>Consulta de médico de una sociedad</t>
  </si>
  <si>
    <t>Consulta de médico particular</t>
  </si>
  <si>
    <t>Consulta telefónica</t>
  </si>
  <si>
    <t>Otro lugar</t>
  </si>
  <si>
    <t>Otros motivos</t>
  </si>
  <si>
    <t>Un accidente o agresión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</si>
  <si>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</si>
  <si>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</si>
  <si>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</si>
  <si>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</si>
  <si>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</si>
  <si>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</si>
  <si>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</si>
  <si>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</si>
  <si>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</si>
  <si>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</si>
  <si>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</si>
  <si>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</si>
  <si>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</si>
  <si>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</si>
  <si>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Dependencia funcional del dentista consultado en la última visita</t>
  </si>
  <si>
    <t>Estado de dientes y muelas: Tiene caries</t>
  </si>
  <si>
    <t>Estado de dientes y muelas: Le han extraído dientes/muelas</t>
  </si>
  <si>
    <t>Modalidad de seguro sanitario: No tiene seguro médico</t>
  </si>
  <si>
    <t>Modalidad de seguro sanitario: Otras situaciones</t>
  </si>
  <si>
    <t>Modalidad de seguro sanitario: Seguro médico privado, concertado individualmente (sociedades médicas, Colegios Profesionales...)</t>
  </si>
  <si>
    <t>Ceuta</t>
  </si>
  <si>
    <t>Hombre</t>
  </si>
  <si>
    <t>Mujer</t>
  </si>
  <si>
    <t>Sí</t>
  </si>
  <si>
    <t>No</t>
  </si>
  <si>
    <t>Otros familiares</t>
  </si>
  <si>
    <t>Otra relación</t>
  </si>
  <si>
    <t>Nacionalidad: Española</t>
  </si>
  <si>
    <t>Nacionalidad: Extranjera</t>
  </si>
  <si>
    <t>No contesta</t>
  </si>
  <si>
    <t>CCAA</t>
  </si>
  <si>
    <t>Tiempo desde la última consulta al dentista, estomatólogo o higienista dental</t>
  </si>
  <si>
    <t>En las últimas 4 semanas</t>
  </si>
  <si>
    <t>Entre 4 semanas y 12 meses</t>
  </si>
  <si>
    <t>Hace 12 meses o más</t>
  </si>
  <si>
    <t>Tiempo desde la última consulta a un médico especialista</t>
  </si>
  <si>
    <t>Último médico consultado</t>
  </si>
  <si>
    <t>Visita durante los últimos 12 meses a: Psicólogo, psicoterapeuta o psiquiatra</t>
  </si>
  <si>
    <t>Realización de análisis en los últimos 12 meses</t>
  </si>
  <si>
    <t>Sanidad Pública (Seguridad Social, Ayuntamiento, etc.)</t>
  </si>
  <si>
    <t xml:space="preserve">Casa de socorro o servicio de urgencias del ayuntamiento 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</si>
  <si>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</si>
  <si>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</si>
  <si>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</si>
  <si>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</si>
  <si>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</si>
  <si>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</si>
  <si>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</si>
  <si>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</si>
  <si>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Una o más veces al día</t>
  </si>
  <si>
    <t>De 4 a 6 veces a la semana</t>
  </si>
  <si>
    <t>Tres veces a la semana</t>
  </si>
  <si>
    <t>Castilla - La Mancha</t>
  </si>
  <si>
    <t>IDENTHOGAR</t>
  </si>
  <si>
    <t>IMC</t>
  </si>
  <si>
    <t xml:space="preserve">Variable derivada: Índice de masa corporal (IMC) </t>
  </si>
  <si>
    <t>No consta</t>
  </si>
  <si>
    <t>Peso insuficiente</t>
  </si>
  <si>
    <t>Normopeso</t>
  </si>
  <si>
    <t>Sobrepeso</t>
  </si>
  <si>
    <t>Obesidad</t>
  </si>
  <si>
    <t>TSINO</t>
  </si>
  <si>
    <t>TCCAA</t>
  </si>
  <si>
    <t>TSEXO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</si>
  <si>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</si>
  <si>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</si>
  <si>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</si>
  <si>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</si>
  <si>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</si>
  <si>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</si>
  <si>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</si>
  <si>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</si>
  <si>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 xml:space="preserve">Código </t>
  </si>
  <si>
    <t>T_IMC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</si>
  <si>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</si>
  <si>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Número de ingresos en un hospital de día en los últimos 12 meses
001 a 365</t>
  </si>
  <si>
    <t>Número de veces que utilizó el servicio de urgencias en los últimos 12 meses
001 a 200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</si>
  <si>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</si>
  <si>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</si>
  <si>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</si>
  <si>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Horas
00 a 48</t>
  </si>
  <si>
    <t>N_999NC</t>
  </si>
  <si>
    <t>Consumo de verduras, ensaladas y hortalizas: Cantidad
01 a 10</t>
  </si>
  <si>
    <t>Consumo de zumo natural de frutas o verduras: Cantidad
01 a 10</t>
  </si>
  <si>
    <t>Tiempo desde que pidió asistencia urgente hasta que fue atendido (último servicio de urgencias utilizado): Minutos
00 a 59</t>
  </si>
  <si>
    <t>(b) Admite blanco por flujo</t>
  </si>
  <si>
    <t>País de nacimiento de la madre</t>
  </si>
  <si>
    <t>País de nacimiento del padre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</si>
  <si>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</si>
  <si>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</si>
  <si>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</si>
  <si>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</si>
  <si>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</si>
  <si>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Entre 1 y 5 horas al día </t>
  </si>
  <si>
    <t xml:space="preserve">Más de 5 horas al día </t>
  </si>
  <si>
    <t>Consumo de fruta fresca (excluyendo zumos): Cantidad (01 a 10)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</si>
  <si>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</si>
  <si>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</si>
  <si>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</si>
  <si>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</si>
  <si>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</si>
  <si>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</si>
  <si>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</si>
  <si>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</si>
  <si>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</si>
  <si>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</si>
  <si>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</si>
  <si>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</si>
  <si>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</si>
  <si>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</si>
  <si>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</si>
  <si>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</si>
  <si>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</si>
  <si>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</si>
  <si>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Medicamentos para la diabetes consumidos</t>
  </si>
  <si>
    <t>Medicamentos para la diabetes recetados</t>
  </si>
  <si>
    <t>Productos homeopáticos consumidos</t>
  </si>
  <si>
    <t>Productos homeopáticos recetados</t>
  </si>
  <si>
    <t>Productos naturistas consumidos</t>
  </si>
  <si>
    <t>Productos naturistas recetados</t>
  </si>
  <si>
    <t>Otros medicamentos consumidos</t>
  </si>
  <si>
    <t>Otros medicamentos recetados</t>
  </si>
  <si>
    <t>Frecuencia diaria de consumo de fruta fresca o zumos naturales</t>
  </si>
  <si>
    <t>Consumo de fruta fresca o zumo natural de frutas o verduras: Cantidad
01 a 10</t>
  </si>
  <si>
    <t>Diccionario ubicado en la hoja…</t>
  </si>
  <si>
    <t>Observaciones</t>
  </si>
  <si>
    <t xml:space="preserve">DATOS DE IDENTIFICACIÓN </t>
  </si>
  <si>
    <t>(b)</t>
  </si>
  <si>
    <t>VARIABLES DERIVADAS</t>
  </si>
  <si>
    <t>T1_A</t>
  </si>
  <si>
    <t>T1B</t>
  </si>
  <si>
    <t>N_99NC</t>
  </si>
  <si>
    <t>N_9NC</t>
  </si>
  <si>
    <t>TSINOC</t>
  </si>
  <si>
    <t>T1F</t>
  </si>
  <si>
    <t>T2F</t>
  </si>
  <si>
    <t>T3F</t>
  </si>
  <si>
    <t>T7L</t>
  </si>
  <si>
    <t>T9L</t>
  </si>
  <si>
    <t>T11L</t>
  </si>
  <si>
    <t>T1M</t>
  </si>
  <si>
    <t>Número de identificación del hogar: 0000001 a 9999999</t>
  </si>
  <si>
    <r>
      <t xml:space="preserve">Diseño de registro de la Encuesta de Salud en España_2023
</t>
    </r>
    <r>
      <rPr>
        <b/>
        <sz val="18"/>
        <rFont val="Arial"/>
        <family val="2"/>
      </rPr>
      <t>Cuestionario menor (ESdEmenor_2023)</t>
    </r>
  </si>
  <si>
    <t>Número de orden del menor seleccionado</t>
  </si>
  <si>
    <t>NORDENm</t>
  </si>
  <si>
    <t>SEXOm</t>
  </si>
  <si>
    <t>EDADm</t>
  </si>
  <si>
    <t>Identificación del menor seleccionado: Sexo</t>
  </si>
  <si>
    <t>Identificación del menor seleccionado: Edad. De 00 a 14</t>
  </si>
  <si>
    <t xml:space="preserve">IDENTIFICACIÓN DEL INFORMANTE </t>
  </si>
  <si>
    <t>Informante: ¿Es miembro del hogar el informante?</t>
  </si>
  <si>
    <t>Informante: Número de orden del miembro del hogar</t>
  </si>
  <si>
    <t>Informante: Edad del informante. De 018 a 117</t>
  </si>
  <si>
    <t>Informante: Sexo del informante</t>
  </si>
  <si>
    <t>Informante: Relación del informante con el menor seleccionado</t>
  </si>
  <si>
    <t>Informante_1</t>
  </si>
  <si>
    <t>Informante_1a</t>
  </si>
  <si>
    <t>Informante_3</t>
  </si>
  <si>
    <t>Informante_4</t>
  </si>
  <si>
    <t>Informante_5</t>
  </si>
  <si>
    <t>TPROXY</t>
  </si>
  <si>
    <t>Madre</t>
  </si>
  <si>
    <t>Padre</t>
  </si>
  <si>
    <t>Tutor/a</t>
  </si>
  <si>
    <t>Hermano/a</t>
  </si>
  <si>
    <t>Abuelo/a</t>
  </si>
  <si>
    <t>Servicios Sociales</t>
  </si>
  <si>
    <t xml:space="preserve">RELACIÓN DE PARENTESCO CON LOS MIEMBROS DEL HOGAR </t>
  </si>
  <si>
    <t>Relación con el menor seleccionado con miembro 1 del hogar</t>
  </si>
  <si>
    <t>Relación con el menor seleccionado con miembro 2 del hogar</t>
  </si>
  <si>
    <t>Relación con el menor seleccionado con miembro 3 del hogar</t>
  </si>
  <si>
    <t>Relación con el menor seleccionado con miembro 4 del hogar</t>
  </si>
  <si>
    <t>Relación con el menor seleccionado con miembro 5 del hogar</t>
  </si>
  <si>
    <t>Relación con el menor seleccionado con miembro 6 del hogar</t>
  </si>
  <si>
    <t>Relación con el menor seleccionado con miembro 7 del hogar</t>
  </si>
  <si>
    <t>Relación con el menor seleccionado con miembro 8 del hogar</t>
  </si>
  <si>
    <t>Relación con el menor seleccionado con miembro 9 del hogar</t>
  </si>
  <si>
    <t>Relación con el menor seleccionado con miembro 10 del hogar</t>
  </si>
  <si>
    <t>Relación con el menor seleccionado con miembro 11 del hogar</t>
  </si>
  <si>
    <t>Relación con el menor seleccionado con miembro 12 del hogar</t>
  </si>
  <si>
    <t>Relación con el menor seleccionado con miembro 13 del hogar</t>
  </si>
  <si>
    <t>Relación con el menor seleccionado con miembro 14 del hogar</t>
  </si>
  <si>
    <t>Relación con el menor seleccionado con miembro 15 del hogar</t>
  </si>
  <si>
    <t>RP_1</t>
  </si>
  <si>
    <t>RP_2</t>
  </si>
  <si>
    <t>RP_3</t>
  </si>
  <si>
    <t>RP_4</t>
  </si>
  <si>
    <t>RP_5</t>
  </si>
  <si>
    <t>RP_6</t>
  </si>
  <si>
    <t>RP_7</t>
  </si>
  <si>
    <t>RP_8</t>
  </si>
  <si>
    <t>RP_9</t>
  </si>
  <si>
    <t>RP_10</t>
  </si>
  <si>
    <t>RP_11</t>
  </si>
  <si>
    <t>RP_12</t>
  </si>
  <si>
    <t>RP_13</t>
  </si>
  <si>
    <t>RP_14</t>
  </si>
  <si>
    <t>RP_15</t>
  </si>
  <si>
    <t>TRP</t>
  </si>
  <si>
    <t>Menor seleccionado</t>
  </si>
  <si>
    <t>Otro familiar</t>
  </si>
  <si>
    <t xml:space="preserve">A. NACIONALIDAD DEL MENOR SELECCIONADO </t>
  </si>
  <si>
    <t>A1m</t>
  </si>
  <si>
    <t>A2m</t>
  </si>
  <si>
    <t>A3m</t>
  </si>
  <si>
    <t>A4_1m</t>
  </si>
  <si>
    <t>A4_2m</t>
  </si>
  <si>
    <t>A4_3m</t>
  </si>
  <si>
    <t>Años residiendo en España (00 a 14 años)</t>
  </si>
  <si>
    <t xml:space="preserve">B. ESTADO DE SALUD </t>
  </si>
  <si>
    <t>A5m</t>
  </si>
  <si>
    <t>B1m</t>
  </si>
  <si>
    <t>B2_1am</t>
  </si>
  <si>
    <t>B2_1bm</t>
  </si>
  <si>
    <t>B2_1cm</t>
  </si>
  <si>
    <t>B2_2am</t>
  </si>
  <si>
    <t>B2_2bm</t>
  </si>
  <si>
    <t>B2_2cm</t>
  </si>
  <si>
    <t>B2_3am</t>
  </si>
  <si>
    <t>B2_3bm</t>
  </si>
  <si>
    <t>B2_3cm</t>
  </si>
  <si>
    <t>B2_4am</t>
  </si>
  <si>
    <t>B2_4bm</t>
  </si>
  <si>
    <t>B2_4cm</t>
  </si>
  <si>
    <t>B2_5am</t>
  </si>
  <si>
    <t>B2_5bm</t>
  </si>
  <si>
    <t>B2_5cm</t>
  </si>
  <si>
    <t>B2_6am</t>
  </si>
  <si>
    <t>B2_6bm</t>
  </si>
  <si>
    <t>B2_6cm</t>
  </si>
  <si>
    <t>B2_7am</t>
  </si>
  <si>
    <t>B2_7bm</t>
  </si>
  <si>
    <t>B2_7cm</t>
  </si>
  <si>
    <t>B2_8am</t>
  </si>
  <si>
    <t>B2_8bm</t>
  </si>
  <si>
    <t>B2_8cm</t>
  </si>
  <si>
    <t>B2_9am</t>
  </si>
  <si>
    <t>B2_9bm</t>
  </si>
  <si>
    <t>B2_9cm</t>
  </si>
  <si>
    <t>B3m</t>
  </si>
  <si>
    <t>B4m</t>
  </si>
  <si>
    <t>Estado de salud del menor percibido en los últimos 12 meses</t>
  </si>
  <si>
    <t>Ha padecido alguna vez: Alergia crónica</t>
  </si>
  <si>
    <t>Ha padecido en los 12 últimos meses: Alergia crónica</t>
  </si>
  <si>
    <t>Diagnóstico médico: Alergia crónica</t>
  </si>
  <si>
    <t>Ha padecido alguna vez: Asma</t>
  </si>
  <si>
    <t>Ha padecido en los 12 últimos meses: Asma</t>
  </si>
  <si>
    <t>Diagnóstico médico: Asma</t>
  </si>
  <si>
    <t>Ha padecido en los 12 últimos meses:  Diabetes</t>
  </si>
  <si>
    <t>Diagnóstico médico:  Diabetes</t>
  </si>
  <si>
    <t>Ha padecido alguna vez: Tumores malignos (incluye leucemia y linfoma)</t>
  </si>
  <si>
    <t>Ha padecido en los 12 últimos meses:  Tumores malignos (incluye leucemia y linfoma)</t>
  </si>
  <si>
    <t>Diagnóstico médico: Tumores malignos (incluye leucemia y linfoma)</t>
  </si>
  <si>
    <t>Ha padecido alguna vez: Epilepsia</t>
  </si>
  <si>
    <t>Ha padecido en los 12 últimos meses:  Epilepsia</t>
  </si>
  <si>
    <t>Diagnóstico médico:  Epilepsia</t>
  </si>
  <si>
    <t>Ha padecido alguna vez: Trastornos de la conducta (incluye hiperactividad)</t>
  </si>
  <si>
    <t>Ha padecido en los 12 últimos meses:  Transtornos de la conducta (incluye hiperactividad)</t>
  </si>
  <si>
    <t>Diagnóstico médico:  Transtornos de la conducta (incluye hiperactividad)</t>
  </si>
  <si>
    <t xml:space="preserve">Ha padecido alguna vez: Trastornos mentales (depresión, ansiedad, etc.) </t>
  </si>
  <si>
    <t xml:space="preserve">Ha padecido en los 12 últimos meses:  Trastornos mentales (depresión, ansiedad, etc.) </t>
  </si>
  <si>
    <t xml:space="preserve">Diagnóstico médico:  Trastornos mentales (depresión, ansiedad, etc.) </t>
  </si>
  <si>
    <t xml:space="preserve">Ha padecido en los 12 últimos meses: Lesiones o defectos permanentes causados por un accidente </t>
  </si>
  <si>
    <t xml:space="preserve">Diagnóstico médico: Lesiones o defectos permanentes causados por un accidente </t>
  </si>
  <si>
    <t>Ha padecido alguna vez: Autismo o trastornos del espectro autista (TEA)</t>
  </si>
  <si>
    <t>Ha padecido en los 12 últimos meses: Autismo o trastornos del espectro autista (TEA)</t>
  </si>
  <si>
    <t>Diagnóstico médico: Autismo o trastornos del espectro autista (TEA)</t>
  </si>
  <si>
    <t>Limitación en los últimos 6 meses debido a estas enfermedades o problemas de salud crónicos</t>
  </si>
  <si>
    <t>Tipo de problema causante de la dificultad</t>
  </si>
  <si>
    <t>T3B</t>
  </si>
  <si>
    <t>T4B</t>
  </si>
  <si>
    <t>C. ACCIDENTALIDAD</t>
  </si>
  <si>
    <t>C1_1m</t>
  </si>
  <si>
    <t>C1_2m</t>
  </si>
  <si>
    <t>C1_3m</t>
  </si>
  <si>
    <t>C1_4m</t>
  </si>
  <si>
    <t>C2m</t>
  </si>
  <si>
    <t>C3_1m</t>
  </si>
  <si>
    <t>C3_2m</t>
  </si>
  <si>
    <t>C3_3m</t>
  </si>
  <si>
    <t>C3_4m</t>
  </si>
  <si>
    <t>C3_5m</t>
  </si>
  <si>
    <t>C3_6m</t>
  </si>
  <si>
    <t>C3_7m</t>
  </si>
  <si>
    <t xml:space="preserve">Ha tenido en los últimos 12 meses: Accidente en el lugar de estudio, colegio o guarderia </t>
  </si>
  <si>
    <t>Daños producidos por el último accidente: Contusiones, hematomas, esguinces-luxaciones o heridas superficiales</t>
  </si>
  <si>
    <t>Daños producidos por el último accidente: Fracturas o heridas profundas</t>
  </si>
  <si>
    <t>Daños producidos por el último accidente: Envenenamiento o intoxicación</t>
  </si>
  <si>
    <t>Daños producidos por el último accidente: Quemaduras</t>
  </si>
  <si>
    <t>Daños producidos por el último accidente: Otros efectos</t>
  </si>
  <si>
    <t>Daños producidos por el último accidente: No le produjo daños</t>
  </si>
  <si>
    <t>Daños producidos por el último accidente: No contesta</t>
  </si>
  <si>
    <t>T2C</t>
  </si>
  <si>
    <t>No sabe/No contesta</t>
  </si>
  <si>
    <t>F. CONSULTAS MÉDICAS Y OTROS SERVICIOS SANITARIOS</t>
  </si>
  <si>
    <t>Tiempo desde la última consulta médica al pediatra, médico general o de familia</t>
  </si>
  <si>
    <t>F1m</t>
  </si>
  <si>
    <t>F1bm</t>
  </si>
  <si>
    <t>Número de consultas a un pediatra, médico general o médico de familia en las cuatro últimas semanas</t>
  </si>
  <si>
    <t>F2m</t>
  </si>
  <si>
    <t>F2bm</t>
  </si>
  <si>
    <t>F3m</t>
  </si>
  <si>
    <t>F4m</t>
  </si>
  <si>
    <t>F5m</t>
  </si>
  <si>
    <t>T4F</t>
  </si>
  <si>
    <t>T5F</t>
  </si>
  <si>
    <t>Pediatra de cabecera</t>
  </si>
  <si>
    <t>Otro especialista</t>
  </si>
  <si>
    <t>Escuela, colegio, instituto</t>
  </si>
  <si>
    <t>Domicilio del menor</t>
  </si>
  <si>
    <t>Diagnóstico o revisión de una enfermedad o problema  de salud</t>
  </si>
  <si>
    <t>Control de salud (Programa de atención al niño sano) y/o vacunación</t>
  </si>
  <si>
    <t>F6m</t>
  </si>
  <si>
    <t>T6F</t>
  </si>
  <si>
    <t>Otros (médico escolar...)</t>
  </si>
  <si>
    <t>Visita durante los últimos 12 meses a: Enfermero/a o matrona</t>
  </si>
  <si>
    <t>Visita durante los últimos 12 meses a: Logopeda</t>
  </si>
  <si>
    <t>F7m</t>
  </si>
  <si>
    <t>F8_1m</t>
  </si>
  <si>
    <t>F8_2m</t>
  </si>
  <si>
    <t>F8_3m</t>
  </si>
  <si>
    <t>F9_1m</t>
  </si>
  <si>
    <t>F9_2m</t>
  </si>
  <si>
    <t>F9_3m</t>
  </si>
  <si>
    <t>F9_4m</t>
  </si>
  <si>
    <t>F10_1m</t>
  </si>
  <si>
    <t>F10_2m</t>
  </si>
  <si>
    <t>F10_3m</t>
  </si>
  <si>
    <t>F10_4m</t>
  </si>
  <si>
    <t>F11m</t>
  </si>
  <si>
    <t>F11bm</t>
  </si>
  <si>
    <t>F12_1m</t>
  </si>
  <si>
    <t>F12_2m</t>
  </si>
  <si>
    <t>F12_3m</t>
  </si>
  <si>
    <t>F12_4m</t>
  </si>
  <si>
    <t>F12_5m</t>
  </si>
  <si>
    <t>F12_6m</t>
  </si>
  <si>
    <t>F12_7m</t>
  </si>
  <si>
    <t>F12_8m</t>
  </si>
  <si>
    <t>F12_9m</t>
  </si>
  <si>
    <t>F13m</t>
  </si>
  <si>
    <t>T11F</t>
  </si>
  <si>
    <t>Hace más de 3 meses y menos de 12 meses</t>
  </si>
  <si>
    <t>Hace un año o mas</t>
  </si>
  <si>
    <t>Nunca ha ido</t>
  </si>
  <si>
    <t>T13F</t>
  </si>
  <si>
    <t>F14m</t>
  </si>
  <si>
    <t>F15_1m</t>
  </si>
  <si>
    <t>F15_2m</t>
  </si>
  <si>
    <t>F15_3m</t>
  </si>
  <si>
    <t>F15_4m</t>
  </si>
  <si>
    <t>F15_5m</t>
  </si>
  <si>
    <t>Le ha salido algún diente</t>
  </si>
  <si>
    <t>Estado de dientes y muelas: Tiene dientes/muelas empastados (obturados) o sellados</t>
  </si>
  <si>
    <t>Estado de dientes y muelas: Los dientes que tiene están sanos</t>
  </si>
  <si>
    <t>Ingreso en hospital en los últimos 12 meses</t>
  </si>
  <si>
    <t>G1m</t>
  </si>
  <si>
    <t>Número de veces ingresado en un hospital en los últimos 12 meses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</si>
  <si>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
000 a 365
Se permite el 000 para personas que están hospitalizadas en el momento de la entrevista y no han estado hospitalizadas más veces en los últimos 12 meses (regla Eurostat)</t>
  </si>
  <si>
    <t>G1bm</t>
  </si>
  <si>
    <t>G1cm</t>
  </si>
  <si>
    <t xml:space="preserve">Motivo del último ingreso en el hospital en los ultimos 12 meses </t>
  </si>
  <si>
    <t>G2m</t>
  </si>
  <si>
    <t>T2G</t>
  </si>
  <si>
    <t>G3m</t>
  </si>
  <si>
    <t>T3G</t>
  </si>
  <si>
    <t>G4m</t>
  </si>
  <si>
    <t>G4bm</t>
  </si>
  <si>
    <t>G5m</t>
  </si>
  <si>
    <t>G5bm</t>
  </si>
  <si>
    <t>G6_1m</t>
  </si>
  <si>
    <t>G6_2m</t>
  </si>
  <si>
    <t>G6_3m</t>
  </si>
  <si>
    <t>G7_1m</t>
  </si>
  <si>
    <t>G7_2m</t>
  </si>
  <si>
    <t>G7_3m</t>
  </si>
  <si>
    <t>G8_1m</t>
  </si>
  <si>
    <t>G8_2m</t>
  </si>
  <si>
    <t>G9m</t>
  </si>
  <si>
    <t>T9G</t>
  </si>
  <si>
    <t>Modalidad de seguro sanitario: No contesta</t>
  </si>
  <si>
    <t>G10_1m</t>
  </si>
  <si>
    <t>G10_2m</t>
  </si>
  <si>
    <t>G10_3m</t>
  </si>
  <si>
    <t>G10_4m</t>
  </si>
  <si>
    <t>G10_5m</t>
  </si>
  <si>
    <t>G10_6m</t>
  </si>
  <si>
    <t>G10_7m</t>
  </si>
  <si>
    <t>G10_8m</t>
  </si>
  <si>
    <t>G. HOSPITALIZACIONES, URGENCIAS Y SEGURO SANITARIO</t>
  </si>
  <si>
    <t>Consumo de medicamentos durante las dos últimas semanas</t>
  </si>
  <si>
    <t>Medicamentos para los vómitos consumidos</t>
  </si>
  <si>
    <t>Medicamentos para los vómitos recetados</t>
  </si>
  <si>
    <t>Medicamentos para el asma consumidos</t>
  </si>
  <si>
    <t>Medicamentos para el asma recetados</t>
  </si>
  <si>
    <t>H1m</t>
  </si>
  <si>
    <t>H2_1am</t>
  </si>
  <si>
    <t>H2_1bm</t>
  </si>
  <si>
    <t>H2_2am</t>
  </si>
  <si>
    <t>H2_2bm</t>
  </si>
  <si>
    <t>H2_3am</t>
  </si>
  <si>
    <t>H2_3bm</t>
  </si>
  <si>
    <t>H2_4am</t>
  </si>
  <si>
    <t>H2_4bm</t>
  </si>
  <si>
    <t>H2_5am</t>
  </si>
  <si>
    <t>H2_5bm</t>
  </si>
  <si>
    <t>H2_6am</t>
  </si>
  <si>
    <t>H2_6bm</t>
  </si>
  <si>
    <t>H2_7am</t>
  </si>
  <si>
    <t>H2_7bm</t>
  </si>
  <si>
    <t>H2_8am</t>
  </si>
  <si>
    <t>H2_8bm</t>
  </si>
  <si>
    <t>H2_9am</t>
  </si>
  <si>
    <t>H2_9bm</t>
  </si>
  <si>
    <t>H2_10am</t>
  </si>
  <si>
    <t>H2_10bm</t>
  </si>
  <si>
    <t>H2_11am</t>
  </si>
  <si>
    <t>H2_11bm</t>
  </si>
  <si>
    <t>H2_12am</t>
  </si>
  <si>
    <t>H2_12bm</t>
  </si>
  <si>
    <t>H2_13am</t>
  </si>
  <si>
    <t>H2_13bm</t>
  </si>
  <si>
    <t>H2_14am</t>
  </si>
  <si>
    <t>H2_14bm</t>
  </si>
  <si>
    <t>H2_15am</t>
  </si>
  <si>
    <t>H2_15bm</t>
  </si>
  <si>
    <t>H. CONSUMO DE MEDICAMENTOS</t>
  </si>
  <si>
    <t>I. NECESIDADES DE ATENCIÓN MÉDICA NO CUBIERTAS</t>
  </si>
  <si>
    <t>I1m</t>
  </si>
  <si>
    <t>I2m</t>
  </si>
  <si>
    <t>I3_1m</t>
  </si>
  <si>
    <t>I3_2m</t>
  </si>
  <si>
    <t>I3_3m</t>
  </si>
  <si>
    <t>I4_4m</t>
  </si>
  <si>
    <t>T1I</t>
  </si>
  <si>
    <t>T3I</t>
  </si>
  <si>
    <t>J. CARACTERÍSTICAS FÍSICAS</t>
  </si>
  <si>
    <t>J1m</t>
  </si>
  <si>
    <t>J2m</t>
  </si>
  <si>
    <t>J3m</t>
  </si>
  <si>
    <t>Peso en kg (003 a 100)</t>
  </si>
  <si>
    <t>Altura en cm (040 a 220)</t>
  </si>
  <si>
    <t>Percepción del peso en relación a la estatura</t>
  </si>
  <si>
    <t>T3J</t>
  </si>
  <si>
    <t>Bastante mayor de lo normal</t>
  </si>
  <si>
    <t>Algo mayor de lo normal</t>
  </si>
  <si>
    <t>Normal</t>
  </si>
  <si>
    <t>Menor de lo normal</t>
  </si>
  <si>
    <t>K1m</t>
  </si>
  <si>
    <t>K. DESCANSO Y ACTIVIDAD FÍSICA</t>
  </si>
  <si>
    <t>K2m</t>
  </si>
  <si>
    <t>T2K</t>
  </si>
  <si>
    <t>No hace ejercicio. El tiempo libre lo ocupa de forma casi completamente sedentaria  (leer, ver la televisión, ir al cine, etc.)</t>
  </si>
  <si>
    <t>Hace alguna actividad física o deportiva ocasional (caminar o pasear en bicicleta, gimnasia suave, actividades recreativas que requieren un ligero esfuerzo, etc.)</t>
  </si>
  <si>
    <t>Hace actividad física varias veces al mes (deportes, gimnasia, correr, natación, ciclismo, juegos de equipo, etc.)</t>
  </si>
  <si>
    <t>Hace entrenamiento deportivo o físico varias veces a la semana</t>
  </si>
  <si>
    <t>T3K</t>
  </si>
  <si>
    <t>Nada o casi nada</t>
  </si>
  <si>
    <t>Menos de una hora</t>
  </si>
  <si>
    <t>Una hora o más</t>
  </si>
  <si>
    <t>K3m</t>
  </si>
  <si>
    <t>K3bm</t>
  </si>
  <si>
    <t>K4m</t>
  </si>
  <si>
    <t>K4bm</t>
  </si>
  <si>
    <t>Tiempo que está frente a una pantalla (ordenador, tablet, televisión, vídeos, videojuegos, móvil...) un día entresemana</t>
  </si>
  <si>
    <t>Tiempo que está frente a una pantalla (ordenador, tablet, televisión, vídeos, videojuegos, móvil...) un día del fin de semana</t>
  </si>
  <si>
    <t>Número de horas que duerme habitualmente al día (01 a 24)</t>
  </si>
  <si>
    <t>Número de horas diarias que está frente a una pantalla de lunes a viernes (01 a 12)</t>
  </si>
  <si>
    <t>Número de horas diarias que está frente a una pantalla un día del fin de semana (01 a 12)</t>
  </si>
  <si>
    <t>L. ALIMENTACIÓN</t>
  </si>
  <si>
    <t>L1m</t>
  </si>
  <si>
    <t>L2_1m</t>
  </si>
  <si>
    <t>L2_2m</t>
  </si>
  <si>
    <t>L3m</t>
  </si>
  <si>
    <t>L4_1m</t>
  </si>
  <si>
    <t>L4_2m</t>
  </si>
  <si>
    <t>L5m</t>
  </si>
  <si>
    <t>L6_1m</t>
  </si>
  <si>
    <t>L6_2m</t>
  </si>
  <si>
    <t>L7m</t>
  </si>
  <si>
    <t>L8_1m</t>
  </si>
  <si>
    <t>L8_2m</t>
  </si>
  <si>
    <t>L8_3m</t>
  </si>
  <si>
    <t>L8_4m</t>
  </si>
  <si>
    <t>L8_5m</t>
  </si>
  <si>
    <t>L8_6m</t>
  </si>
  <si>
    <t>L8_7m</t>
  </si>
  <si>
    <t>L8_8m</t>
  </si>
  <si>
    <t>L8_9m</t>
  </si>
  <si>
    <t>L9_1m</t>
  </si>
  <si>
    <t>L9_1am</t>
  </si>
  <si>
    <t>L9_2m</t>
  </si>
  <si>
    <t>L9_3m</t>
  </si>
  <si>
    <t>L9_4m</t>
  </si>
  <si>
    <t>L9_5m</t>
  </si>
  <si>
    <t>L9_6m</t>
  </si>
  <si>
    <t>L9_7m</t>
  </si>
  <si>
    <t>L9_7am</t>
  </si>
  <si>
    <t>L9_8m</t>
  </si>
  <si>
    <t>L9_9m</t>
  </si>
  <si>
    <t>L9_10m</t>
  </si>
  <si>
    <t>L9_11m</t>
  </si>
  <si>
    <t>L9_12m</t>
  </si>
  <si>
    <t>L9_13m</t>
  </si>
  <si>
    <t>L9_14m</t>
  </si>
  <si>
    <t>L9_15m</t>
  </si>
  <si>
    <t>L9_15am</t>
  </si>
  <si>
    <t>L9bm</t>
  </si>
  <si>
    <t>L9cm</t>
  </si>
  <si>
    <t>L10m</t>
  </si>
  <si>
    <t>L11m</t>
  </si>
  <si>
    <t>Sigue alguna dieta o régimen especial</t>
  </si>
  <si>
    <t>Razón por la que sigue la dieta o régimen</t>
  </si>
  <si>
    <t>Para perder peso</t>
  </si>
  <si>
    <t>Para mantener su peso actual</t>
  </si>
  <si>
    <t>Para vivir más saludablemente</t>
  </si>
  <si>
    <t>Por una enfermedad o problema de salud</t>
  </si>
  <si>
    <t>Por otra razón</t>
  </si>
  <si>
    <t>Lactancia materna los primeros meses de su vida</t>
  </si>
  <si>
    <t xml:space="preserve">Leche materna como único alimento y bebida </t>
  </si>
  <si>
    <t>Lactancia artificial durante algún tiempo</t>
  </si>
  <si>
    <t>Dónde desayuna habitualmente</t>
  </si>
  <si>
    <t>Desayuno habitual: Café,  té, chocolate, cacao, etc.</t>
  </si>
  <si>
    <t>Desayuno habitual: Leche, yogur</t>
  </si>
  <si>
    <t>Desayuno habitual: Pan, tostadas</t>
  </si>
  <si>
    <t>Desayuno habitual: Galletas, cereales, bollería, etc.</t>
  </si>
  <si>
    <t>Desayuno habitual: Fruta</t>
  </si>
  <si>
    <t>Desayuno habitual: Zumo de frutas y/o verduras naturales o envasados</t>
  </si>
  <si>
    <t>Desayuno habitual: Alimentos como huevos, queso, jamón, etc.</t>
  </si>
  <si>
    <t>Desayuno habitual: Otro tipo de alimentos</t>
  </si>
  <si>
    <t>Desayuno habitual: No contesta</t>
  </si>
  <si>
    <t>Tiempo  que ha recibido lactancia materna: meses (00 a 36)</t>
  </si>
  <si>
    <t>Tiempo que ha recibido lactancia materna: días (00 a 30)</t>
  </si>
  <si>
    <t>Tiempo que ha recibido exclusivamente lactancia materna: meses (0 a 6)</t>
  </si>
  <si>
    <t>Tiempo que ha recibido exclusivamente lactancia materna: días (00 a 30)</t>
  </si>
  <si>
    <t>Edad de comienzo con la lactancia artificial: meses (00 a 12)</t>
  </si>
  <si>
    <t>Edad de comienzo con la lactancia artificial: días (00 a 30)</t>
  </si>
  <si>
    <t>En casa, antes de salir</t>
  </si>
  <si>
    <t>Fuera de casa</t>
  </si>
  <si>
    <t>No suele desayunar</t>
  </si>
  <si>
    <t>M1m</t>
  </si>
  <si>
    <t>M2_1m</t>
  </si>
  <si>
    <t>M2_2m</t>
  </si>
  <si>
    <t>M2_3m</t>
  </si>
  <si>
    <t>M2_4m</t>
  </si>
  <si>
    <t>Frecuencia de cepillado de dientes</t>
  </si>
  <si>
    <t>Momento del día en el que se cepilla: mañana</t>
  </si>
  <si>
    <t>Momento del día en el que se cepilla: después de comer</t>
  </si>
  <si>
    <t>Momento del día en el que se cepilla: por la noche</t>
  </si>
  <si>
    <t>Momento del día en el que se cepilla: no contesta</t>
  </si>
  <si>
    <t>Ocasionalmente, no todos los días</t>
  </si>
  <si>
    <t>Una vez al día</t>
  </si>
  <si>
    <t>Dos veces al día</t>
  </si>
  <si>
    <t>Tres o más veces al día</t>
  </si>
  <si>
    <t>N1m</t>
  </si>
  <si>
    <t>N1am</t>
  </si>
  <si>
    <t>Frecuencia exposición a ambientes de humo en lugares cerrados</t>
  </si>
  <si>
    <t xml:space="preserve">Frecuencia exposición a ambientes de humo en lugares cerrados: todos los dias </t>
  </si>
  <si>
    <t>T1N</t>
  </si>
  <si>
    <t xml:space="preserve">Todos los días </t>
  </si>
  <si>
    <t>Al menos una vez a la semana (pero no todos los días)</t>
  </si>
  <si>
    <t xml:space="preserve">Menos de una vez por semana </t>
  </si>
  <si>
    <t xml:space="preserve">Nunca o casi nunca </t>
  </si>
  <si>
    <t>T1aN</t>
  </si>
  <si>
    <t>FACTORMENOR</t>
  </si>
  <si>
    <t>Factor de elevación del menor (5 enteros, 3 decimales)</t>
  </si>
  <si>
    <t xml:space="preserve">M. HIGIENE DENTAL </t>
  </si>
  <si>
    <t xml:space="preserve">N. EXPOSICION AL HUMO DEL TABACO </t>
  </si>
  <si>
    <t>MCALVIDA</t>
  </si>
  <si>
    <t>MSALMENT1</t>
  </si>
  <si>
    <t>MSALMENT2</t>
  </si>
  <si>
    <t>MSALMENT3</t>
  </si>
  <si>
    <t>MSALMENT4</t>
  </si>
  <si>
    <t>MSALMENT5</t>
  </si>
  <si>
    <t xml:space="preserve">Variable derivada: Calidad de vida relacionada con la salud en población infantil (000 a 100) (2 decimales) </t>
  </si>
  <si>
    <t>Variable derivada: Salud mental en síntomas emocionales (00 a 10)</t>
  </si>
  <si>
    <t>Variable derivada: Salud mental en problemas de conducta (00 a 10)</t>
  </si>
  <si>
    <t>Variable derivada: Salud mental en hiperactividad (00 a 10)</t>
  </si>
  <si>
    <t>Variable derivada: Salud mental en problemas con compañeros (00 a 10)</t>
  </si>
  <si>
    <t>Variable derivada: Salud mental en conducta prosocial (00 a 10)</t>
  </si>
  <si>
    <t>*** TOTAL ***</t>
  </si>
  <si>
    <t>Tablas1</t>
  </si>
  <si>
    <t>Tablas2</t>
  </si>
  <si>
    <t>No encontrada ***</t>
  </si>
  <si>
    <t xml:space="preserve">En hoja -Diseño-. Variables: </t>
  </si>
  <si>
    <t>TipoFormato</t>
  </si>
  <si>
    <t>SEXOm *** (1 veces más)</t>
  </si>
  <si>
    <t>Informante_1 *** (34 veces más)</t>
  </si>
  <si>
    <t>B2_1am *** (96 veces más)</t>
  </si>
  <si>
    <t>RP_1 *** (14 veces más)</t>
  </si>
  <si>
    <t>A1m *** (2 veces más)</t>
  </si>
  <si>
    <t>I1m *** (1 veces más)</t>
  </si>
  <si>
    <t>I3_1m *** (3 veces más)</t>
  </si>
  <si>
    <t>K3m *** (1 veces más)</t>
  </si>
  <si>
    <t>L9_1m *** (14 veces más)</t>
  </si>
  <si>
    <t>Informante_3 *** (5 veces más)</t>
  </si>
  <si>
    <t>EDADm *** (27 veces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</si>
</sst>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7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Arial"/>
      <family val="2"/>
    </font>
    <font>
      <sz val="10"/>
      <color theme="0"/>
      <name val="Arial"/>
      <family val="2"/>
    </font>
    <font>
      <u/>
      <sz val="10"/>
      <color theme="0"/>
      <name val="Arial"/>
      <family val="2"/>
    </font>
    <font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42037"/>
        <bgColor indexed="64"/>
      </patternFill>
    </fill>
    <fill>
      <patternFill patternType="solid">
        <fgColor rgb="FF717D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157">
    <xf numFmtId="0" fontId="0" fillId="0" borderId="0" xfId="0"/>
    <xf numFmtId="0" fontId="3" fillId="0" borderId="0" xfId="2"/>
    <xf numFmtId="0" fontId="9" fillId="0" borderId="0" xfId="0" applyFont="1"/>
    <xf numFmtId="0" fontId="7" fillId="0" borderId="0" xfId="2" applyFont="1"/>
    <xf numFmtId="0" fontId="3" fillId="0" borderId="0" xfId="2" applyAlignment="1">
      <alignment vertical="top"/>
    </xf>
    <xf numFmtId="0" fontId="10" fillId="0" borderId="0" xfId="2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6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left" vertical="top"/>
    </xf>
    <xf numFmtId="0" fontId="15" fillId="0" borderId="0" xfId="0" applyFont="1"/>
    <xf numFmtId="0" fontId="3" fillId="0" borderId="0" xfId="2" applyAlignment="1">
      <alignment horizontal="center" vertical="top"/>
    </xf>
    <xf numFmtId="0" fontId="10" fillId="3" borderId="0" xfId="2" applyFont="1" applyFill="1" applyAlignment="1">
      <alignment horizontal="center"/>
    </xf>
    <xf numFmtId="0" fontId="17" fillId="0" borderId="0" xfId="2" applyFont="1"/>
    <xf numFmtId="0" fontId="18" fillId="0" borderId="0" xfId="2" applyFont="1" applyAlignment="1">
      <alignment horizontal="left" vertical="top" wrapText="1"/>
    </xf>
    <xf numFmtId="0" fontId="18" fillId="0" borderId="0" xfId="2" applyFont="1" applyAlignment="1">
      <alignment horizontal="left" vertical="top"/>
    </xf>
    <xf numFmtId="0" fontId="3" fillId="0" borderId="6" xfId="2" applyBorder="1"/>
    <xf numFmtId="0" fontId="3" fillId="0" borderId="0" xfId="2" applyAlignment="1">
      <alignment horizontal="center"/>
    </xf>
    <xf numFmtId="0" fontId="3" fillId="0" borderId="3" xfId="2" applyBorder="1" applyAlignment="1">
      <alignment horizontal="center"/>
    </xf>
    <xf numFmtId="0" fontId="3" fillId="0" borderId="6" xfId="2" applyBorder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3" xfId="2" applyBorder="1" applyAlignment="1">
      <alignment horizontal="center" vertical="top"/>
    </xf>
    <xf numFmtId="0" fontId="3" fillId="0" borderId="3" xfId="2" applyBorder="1" applyAlignment="1">
      <alignment horizontal="left" vertical="top" wrapText="1"/>
    </xf>
    <xf numFmtId="0" fontId="3" fillId="0" borderId="1" xfId="2" applyBorder="1" applyAlignment="1">
      <alignment horizontal="center" vertical="top"/>
    </xf>
    <xf numFmtId="0" fontId="3" fillId="0" borderId="2" xfId="2" applyBorder="1" applyAlignment="1">
      <alignment horizontal="center" vertical="top"/>
    </xf>
    <xf numFmtId="0" fontId="3" fillId="0" borderId="6" xfId="2" applyBorder="1" applyAlignment="1">
      <alignment vertical="top"/>
    </xf>
    <xf numFmtId="0" fontId="3" fillId="0" borderId="7" xfId="2" applyBorder="1" applyAlignment="1">
      <alignment horizontal="left" vertical="top"/>
    </xf>
    <xf numFmtId="0" fontId="3" fillId="0" borderId="7" xfId="2" applyBorder="1" applyAlignment="1">
      <alignment vertical="top"/>
    </xf>
    <xf numFmtId="0" fontId="3" fillId="0" borderId="0" xfId="2" applyAlignment="1">
      <alignment horizontal="center" vertical="top" wrapText="1"/>
    </xf>
    <xf numFmtId="0" fontId="3" fillId="0" borderId="1" xfId="2" applyBorder="1" applyAlignment="1">
      <alignment horizontal="center"/>
    </xf>
    <xf numFmtId="0" fontId="3" fillId="0" borderId="9" xfId="2" applyBorder="1"/>
    <xf numFmtId="0" fontId="3" fillId="0" borderId="10" xfId="2" applyBorder="1"/>
    <xf numFmtId="0" fontId="3" fillId="0" borderId="10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7" xfId="2" applyBorder="1"/>
    <xf numFmtId="0" fontId="3" fillId="0" borderId="1" xfId="2" applyBorder="1"/>
    <xf numFmtId="0" fontId="3" fillId="0" borderId="2" xfId="2" applyBorder="1" applyAlignment="1">
      <alignment horizontal="center"/>
    </xf>
    <xf numFmtId="0" fontId="3" fillId="0" borderId="11" xfId="2" applyBorder="1" applyAlignment="1">
      <alignment horizontal="center" vertical="top"/>
    </xf>
    <xf numFmtId="0" fontId="3" fillId="0" borderId="6" xfId="2" applyBorder="1" applyAlignment="1">
      <alignment horizontal="left"/>
    </xf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3" xfId="2" applyBorder="1" applyAlignment="1">
      <alignment horizontal="center" vertical="center"/>
    </xf>
    <xf numFmtId="0" fontId="3" fillId="0" borderId="10" xfId="2" applyBorder="1" applyAlignment="1">
      <alignment horizontal="center" vertical="top"/>
    </xf>
    <xf numFmtId="0" fontId="3" fillId="0" borderId="0" xfId="2" applyAlignment="1">
      <alignment wrapText="1"/>
    </xf>
    <xf numFmtId="0" fontId="3" fillId="0" borderId="2" xfId="2" applyBorder="1" applyAlignment="1">
      <alignment horizontal="left" wrapText="1"/>
    </xf>
    <xf numFmtId="0" fontId="17" fillId="0" borderId="0" xfId="2" applyFont="1" applyAlignment="1">
      <alignment wrapText="1"/>
    </xf>
    <xf numFmtId="0" fontId="3" fillId="0" borderId="13" xfId="2" applyBorder="1" applyAlignment="1">
      <alignment horizontal="left" wrapText="1"/>
    </xf>
    <xf numFmtId="0" fontId="3" fillId="0" borderId="2" xfId="2" applyBorder="1" applyAlignment="1">
      <alignment horizontal="left" vertical="top" wrapText="1"/>
    </xf>
    <xf numFmtId="0" fontId="3" fillId="0" borderId="3" xfId="2" applyBorder="1" applyAlignment="1">
      <alignment horizontal="left" wrapText="1"/>
    </xf>
    <xf numFmtId="0" fontId="3" fillId="0" borderId="0" xfId="2" applyAlignment="1">
      <alignment horizontal="left" wrapText="1"/>
    </xf>
    <xf numFmtId="0" fontId="3" fillId="0" borderId="0" xfId="2" applyAlignment="1">
      <alignment horizontal="left" vertical="top" wrapText="1"/>
    </xf>
    <xf numFmtId="0" fontId="3" fillId="0" borderId="3" xfId="2" applyBorder="1" applyAlignment="1">
      <alignment horizontal="left"/>
    </xf>
    <xf numFmtId="0" fontId="3" fillId="0" borderId="7" xfId="2" applyBorder="1" applyAlignment="1">
      <alignment vertical="center"/>
    </xf>
    <xf numFmtId="0" fontId="3" fillId="0" borderId="1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19" fillId="2" borderId="4" xfId="2" applyFont="1" applyFill="1" applyBorder="1" applyAlignment="1">
      <alignment horizontal="center" vertical="center" wrapText="1"/>
    </xf>
    <xf numFmtId="0" fontId="19" fillId="2" borderId="5" xfId="2" applyFont="1" applyFill="1" applyBorder="1" applyAlignment="1">
      <alignment horizontal="center" vertical="center" wrapText="1"/>
    </xf>
    <xf numFmtId="0" fontId="19" fillId="2" borderId="5" xfId="2" applyFont="1" applyFill="1" applyBorder="1" applyAlignment="1">
      <alignment horizontal="center" vertical="center" textRotation="90" wrapText="1"/>
    </xf>
    <xf numFmtId="0" fontId="3" fillId="0" borderId="1" xfId="0" applyFont="1" applyBorder="1"/>
    <xf numFmtId="0" fontId="20" fillId="2" borderId="5" xfId="2" applyFont="1" applyFill="1" applyBorder="1" applyAlignment="1">
      <alignment horizontal="center" vertical="center" wrapText="1"/>
    </xf>
    <xf numFmtId="0" fontId="3" fillId="0" borderId="15" xfId="2" applyBorder="1"/>
    <xf numFmtId="0" fontId="3" fillId="0" borderId="15" xfId="2" applyBorder="1" applyAlignment="1">
      <alignment vertical="top"/>
    </xf>
    <xf numFmtId="0" fontId="3" fillId="0" borderId="16" xfId="2" applyBorder="1" applyAlignment="1">
      <alignment vertical="top"/>
    </xf>
    <xf numFmtId="0" fontId="3" fillId="0" borderId="16" xfId="2" applyBorder="1"/>
    <xf numFmtId="0" fontId="3" fillId="0" borderId="17" xfId="2" applyBorder="1"/>
    <xf numFmtId="0" fontId="3" fillId="0" borderId="2" xfId="2" applyBorder="1" applyAlignment="1">
      <alignment wrapText="1"/>
    </xf>
    <xf numFmtId="0" fontId="3" fillId="0" borderId="9" xfId="2" applyBorder="1" applyAlignment="1">
      <alignment vertical="top"/>
    </xf>
    <xf numFmtId="0" fontId="3" fillId="0" borderId="10" xfId="2" applyBorder="1" applyAlignment="1">
      <alignment horizontal="center" vertical="top" wrapText="1"/>
    </xf>
    <xf numFmtId="0" fontId="3" fillId="0" borderId="11" xfId="2" applyBorder="1" applyAlignment="1">
      <alignment horizontal="left" vertical="top" wrapText="1"/>
    </xf>
    <xf numFmtId="0" fontId="3" fillId="0" borderId="1" xfId="2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3" fillId="0" borderId="10" xfId="2" applyBorder="1" applyAlignment="1">
      <alignment horizontal="left" vertical="top" wrapText="1"/>
    </xf>
    <xf numFmtId="0" fontId="3" fillId="0" borderId="1" xfId="2" applyBorder="1" applyAlignment="1">
      <alignment vertical="top"/>
    </xf>
    <xf numFmtId="0" fontId="3" fillId="0" borderId="12" xfId="2" applyBorder="1"/>
    <xf numFmtId="0" fontId="3" fillId="0" borderId="0" xfId="5" applyFont="1" applyAlignment="1">
      <alignment horizontal="left" vertical="top"/>
    </xf>
    <xf numFmtId="0" fontId="3" fillId="0" borderId="1" xfId="5" applyFont="1" applyBorder="1" applyAlignment="1">
      <alignment horizontal="left" vertical="top"/>
    </xf>
    <xf numFmtId="0" fontId="3" fillId="0" borderId="10" xfId="2" applyBorder="1" applyAlignment="1">
      <alignment vertical="top"/>
    </xf>
    <xf numFmtId="0" fontId="3" fillId="0" borderId="10" xfId="2" applyBorder="1" applyAlignment="1">
      <alignment horizontal="left" wrapText="1"/>
    </xf>
    <xf numFmtId="0" fontId="3" fillId="0" borderId="10" xfId="0" applyFont="1" applyBorder="1"/>
    <xf numFmtId="0" fontId="3" fillId="0" borderId="1" xfId="2" applyBorder="1" applyAlignment="1">
      <alignment vertical="center"/>
    </xf>
    <xf numFmtId="0" fontId="3" fillId="0" borderId="2" xfId="2" applyBorder="1" applyAlignment="1">
      <alignment vertical="center" wrapText="1"/>
    </xf>
    <xf numFmtId="0" fontId="13" fillId="0" borderId="0" xfId="0" applyFont="1" applyAlignment="1">
      <alignment horizontal="justify" vertical="top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/>
    <xf numFmtId="0" fontId="3" fillId="0" borderId="0" xfId="5" applyFont="1" applyAlignment="1">
      <alignment horizontal="left" vertical="center"/>
    </xf>
    <xf numFmtId="0" fontId="3" fillId="0" borderId="15" xfId="2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1" xfId="2" applyBorder="1" applyAlignment="1">
      <alignment horizontal="left"/>
    </xf>
    <xf numFmtId="0" fontId="3" fillId="0" borderId="0" xfId="2" applyAlignment="1">
      <alignment horizontal="center" vertical="center"/>
    </xf>
    <xf numFmtId="0" fontId="3" fillId="0" borderId="3" xfId="2" applyBorder="1" applyAlignment="1">
      <alignment horizontal="left" vertical="center"/>
    </xf>
    <xf numFmtId="0" fontId="3" fillId="0" borderId="11" xfId="2" applyBorder="1" applyAlignment="1">
      <alignment horizontal="left" wrapText="1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2" applyFont="1"/>
    <xf numFmtId="0" fontId="1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8" fillId="2" borderId="14" xfId="2" applyFont="1" applyFill="1" applyBorder="1" applyAlignment="1">
      <alignment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5" fillId="0" borderId="12" xfId="6" applyBorder="1" applyAlignment="1">
      <alignment horizontal="center"/>
    </xf>
    <xf numFmtId="0" fontId="5" fillId="0" borderId="0" xfId="6" applyAlignment="1">
      <alignment horizontal="center" vertical="top" wrapText="1"/>
    </xf>
    <xf numFmtId="0" fontId="5" fillId="0" borderId="1" xfId="6" applyBorder="1" applyAlignment="1">
      <alignment horizontal="center" vertical="top" wrapText="1"/>
    </xf>
    <xf numFmtId="0" fontId="5" fillId="0" borderId="10" xfId="6" applyBorder="1" applyAlignment="1">
      <alignment horizontal="center" vertical="top" wrapText="1"/>
    </xf>
    <xf numFmtId="0" fontId="5" fillId="0" borderId="0" xfId="6" applyBorder="1" applyAlignment="1">
      <alignment horizontal="center" vertical="top" wrapText="1"/>
    </xf>
    <xf numFmtId="0" fontId="23" fillId="6" borderId="1" xfId="6" applyFont="1" applyFill="1" applyBorder="1" applyAlignment="1">
      <alignment horizontal="center" vertical="top" wrapText="1"/>
    </xf>
    <xf numFmtId="0" fontId="24" fillId="2" borderId="0" xfId="0" applyFont="1" applyFill="1"/>
    <xf numFmtId="0" fontId="22" fillId="5" borderId="0" xfId="0" applyFont="1" applyFill="1"/>
    <xf numFmtId="0" fontId="5" fillId="0" borderId="0" xfId="6"/>
    <xf numFmtId="0" fontId="25" fillId="2" borderId="0" xfId="0" applyFont="1" applyFill="1"/>
    <xf numFmtId="0" fontId="26" fillId="5" borderId="0" xfId="0" applyFont="1" applyFill="1"/>
    <xf numFmtId="0" fontId="3" fillId="0" borderId="0" xfId="0" applyFont="1" applyAlignment="1">
      <alignment horizontal="right"/>
    </xf>
    <xf numFmtId="0" fontId="3" fillId="7" borderId="10" xfId="2" applyFill="1" applyBorder="1" applyAlignment="1">
      <alignment horizontal="center" vertical="top"/>
    </xf>
    <xf numFmtId="0" fontId="3" fillId="7" borderId="0" xfId="2" applyFill="1" applyAlignment="1">
      <alignment horizontal="center" vertical="top"/>
    </xf>
    <xf numFmtId="0" fontId="3" fillId="0" borderId="15" xfId="2" applyBorder="1" applyAlignment="1">
      <alignment horizontal="center"/>
    </xf>
    <xf numFmtId="0" fontId="3" fillId="0" borderId="16" xfId="2" applyBorder="1" applyAlignment="1">
      <alignment horizontal="center" vertical="top"/>
    </xf>
    <xf numFmtId="0" fontId="3" fillId="0" borderId="17" xfId="2" applyBorder="1" applyAlignment="1">
      <alignment horizontal="center"/>
    </xf>
    <xf numFmtId="0" fontId="3" fillId="0" borderId="16" xfId="2" applyBorder="1" applyAlignment="1">
      <alignment horizontal="center"/>
    </xf>
    <xf numFmtId="0" fontId="3" fillId="0" borderId="9" xfId="2" applyBorder="1" applyAlignment="1">
      <alignment horizontal="center"/>
    </xf>
    <xf numFmtId="0" fontId="3" fillId="0" borderId="6" xfId="2" applyBorder="1" applyAlignment="1">
      <alignment horizontal="center"/>
    </xf>
    <xf numFmtId="0" fontId="3" fillId="0" borderId="2" xfId="2" applyBorder="1" applyAlignment="1">
      <alignment horizontal="center" wrapText="1"/>
    </xf>
    <xf numFmtId="0" fontId="3" fillId="0" borderId="3" xfId="2" applyBorder="1" applyAlignment="1">
      <alignment horizontal="center" wrapText="1"/>
    </xf>
    <xf numFmtId="0" fontId="17" fillId="0" borderId="0" xfId="2" applyFont="1" applyAlignment="1">
      <alignment horizontal="center"/>
    </xf>
    <xf numFmtId="0" fontId="3" fillId="0" borderId="7" xfId="2" applyBorder="1" applyAlignment="1">
      <alignment horizontal="center"/>
    </xf>
    <xf numFmtId="0" fontId="3" fillId="0" borderId="9" xfId="2" applyBorder="1" applyAlignment="1">
      <alignment horizontal="center" vertical="top"/>
    </xf>
    <xf numFmtId="0" fontId="3" fillId="0" borderId="6" xfId="2" applyBorder="1" applyAlignment="1">
      <alignment horizontal="center" vertical="top"/>
    </xf>
    <xf numFmtId="0" fontId="3" fillId="0" borderId="7" xfId="2" applyBorder="1" applyAlignment="1">
      <alignment horizontal="center" vertical="top"/>
    </xf>
    <xf numFmtId="0" fontId="3" fillId="8" borderId="8" xfId="2" applyFill="1" applyBorder="1"/>
    <xf numFmtId="0" fontId="3" fillId="8" borderId="6" xfId="2" applyFill="1" applyBorder="1" applyAlignment="1">
      <alignment vertical="top"/>
    </xf>
    <xf numFmtId="0" fontId="3" fillId="8" borderId="7" xfId="2" applyFill="1" applyBorder="1" applyAlignment="1">
      <alignment vertical="top"/>
    </xf>
    <xf numFmtId="0" fontId="3" fillId="8" borderId="6" xfId="2" applyFill="1" applyBorder="1"/>
    <xf numFmtId="0" fontId="3" fillId="8" borderId="7" xfId="2" applyFill="1" applyBorder="1" applyAlignment="1">
      <alignment vertical="center"/>
    </xf>
    <xf numFmtId="0" fontId="3" fillId="8" borderId="6" xfId="2" applyFill="1" applyBorder="1" applyAlignment="1">
      <alignment vertical="center"/>
    </xf>
    <xf numFmtId="0" fontId="3" fillId="8" borderId="6" xfId="2" applyFill="1" applyBorder="1" applyAlignment="1">
      <alignment horizontal="left" vertical="top"/>
    </xf>
    <xf numFmtId="0" fontId="3" fillId="8" borderId="0" xfId="0" applyFont="1" applyFill="1"/>
    <xf numFmtId="0" fontId="3" fillId="8" borderId="6" xfId="2" applyFill="1" applyBorder="1" applyAlignment="1">
      <alignment horizontal="left"/>
    </xf>
    <xf numFmtId="0" fontId="3" fillId="8" borderId="0" xfId="2" applyFill="1" applyAlignment="1">
      <alignment vertical="top"/>
    </xf>
    <xf numFmtId="0" fontId="3" fillId="8" borderId="1" xfId="0" applyFont="1" applyFill="1" applyBorder="1"/>
    <xf numFmtId="0" fontId="2" fillId="4" borderId="17" xfId="2" applyFont="1" applyFill="1" applyBorder="1" applyAlignment="1">
      <alignment horizontal="center" vertical="center" wrapText="1"/>
    </xf>
    <xf numFmtId="0" fontId="2" fillId="4" borderId="15" xfId="2" applyFont="1" applyFill="1" applyBorder="1" applyAlignment="1">
      <alignment horizontal="center" vertical="center" wrapText="1"/>
    </xf>
    <xf numFmtId="0" fontId="2" fillId="4" borderId="16" xfId="2" applyFont="1" applyFill="1" applyBorder="1" applyAlignment="1">
      <alignment horizontal="center" vertical="center" wrapText="1"/>
    </xf>
    <xf numFmtId="0" fontId="11" fillId="0" borderId="18" xfId="2" applyFont="1" applyBorder="1" applyAlignment="1">
      <alignment horizontal="left" vertical="top" wrapText="1"/>
    </xf>
  </cellXfs>
  <cellStyles count="7">
    <cellStyle name="Hipervínculo 2" xfId="1" xr:uid="{00000000-0005-0000-0000-000001000000}"/>
    <cellStyle name="Hyperlink" xfId="6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colors>
    <mruColors>
      <color rgb="FFB8CCE4"/>
      <color rgb="FFFFFF99"/>
      <color rgb="FFFFCC99"/>
      <color rgb="FFFFFFCC"/>
      <color rgb="FFFFC000"/>
      <color rgb="FF99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246"/>
  <sheetViews>
    <sheetView showGridLines="0" tabSelected="1" zoomScaleNormal="100" workbookViewId="0">
      <pane ySplit="2" topLeftCell="A3" activePane="bottomLeft" state="frozen"/>
      <selection pane="bottomLeft" activeCell="H5" sqref="H5"/>
    </sheetView>
  </sheetViews>
  <sheetFormatPr defaultColWidth="11.44140625" defaultRowHeight="14.25" customHeight="1" x14ac:dyDescent="0.25"/>
  <cols>
    <col min="1" max="1" width="16.6640625" style="1" customWidth="1"/>
    <col min="2" max="2" width="11" style="1" hidden="1" customWidth="1"/>
    <col min="3" max="3" width="9.44140625" style="1" customWidth="1"/>
    <col min="4" max="5" width="4.6640625" style="1" customWidth="1"/>
    <col min="6" max="6" width="10.44140625" style="3" customWidth="1"/>
    <col min="7" max="7" width="7" style="3" customWidth="1"/>
    <col min="8" max="8" width="16.6640625" style="3" customWidth="1"/>
    <col min="9" max="9" width="117.109375" style="50" customWidth="1"/>
    <col min="10" max="10" width="15.5546875" style="24" customWidth="1"/>
    <col min="11" max="11" width="11.109375" style="1" customWidth="1"/>
    <col min="12" max="12" width="26.5546875" style="1" customWidth="1"/>
    <col min="13" max="16384" width="11.44140625" style="1"/>
  </cols>
  <sheetData>
    <row r="1" spans="1:12" ht="45" customHeight="1" thickBot="1" x14ac:dyDescent="0.3">
      <c r="A1" s="156" t="s">
        <v>269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2" ht="74.099999999999994" customHeight="1" thickBot="1" x14ac:dyDescent="0.3">
      <c r="A2" s="63" t="s">
        <v>191</v>
      </c>
      <c r="B2" s="63" t="s">
        <v>192</v>
      </c>
      <c r="C2" s="64" t="s">
        <v>193</v>
      </c>
      <c r="D2" s="64" t="s">
        <v>194</v>
      </c>
      <c r="E2" s="65" t="s">
        <v>195</v>
      </c>
      <c r="F2" s="64" t="s">
        <v>196</v>
      </c>
      <c r="G2" s="64" t="s">
        <v>197</v>
      </c>
      <c r="H2" s="67" t="s">
        <v>251</v>
      </c>
      <c r="I2" s="64" t="s">
        <v>198</v>
      </c>
      <c r="J2" s="114" t="s">
        <v>252</v>
      </c>
      <c r="K2" s="113"/>
    </row>
    <row r="3" spans="1:12" ht="14.25" customHeight="1" x14ac:dyDescent="0.25">
      <c r="A3" s="142" t="s">
        <v>157</v>
      </c>
      <c r="B3" s="81" t="s">
        <v>189</v>
      </c>
      <c r="C3" s="46">
        <v>2</v>
      </c>
      <c r="D3" s="47" t="s">
        <v>29</v>
      </c>
      <c r="E3" s="46"/>
      <c r="F3" s="46">
        <v>1</v>
      </c>
      <c r="G3" s="46">
        <v>1</v>
      </c>
      <c r="H3" s="115" t="s">
        <v>708</v>
      </c>
      <c r="I3" s="53" t="s">
        <v>46</v>
      </c>
      <c r="J3" s="129"/>
      <c r="K3" s="68"/>
      <c r="L3" s="153" t="s">
        <v>253</v>
      </c>
    </row>
    <row r="4" spans="1:12" s="4" customFormat="1" ht="14.25" customHeight="1" x14ac:dyDescent="0.25">
      <c r="A4" s="143" t="s">
        <v>180</v>
      </c>
      <c r="C4" s="18">
        <v>7</v>
      </c>
      <c r="D4" s="28" t="s">
        <v>29</v>
      </c>
      <c r="E4" s="18"/>
      <c r="F4" s="35">
        <f t="shared" ref="F4:F67" si="0">F3+C3</f>
        <v>3</v>
      </c>
      <c r="G4" s="35">
        <f t="shared" ref="G4:G62" si="1">G3+1</f>
        <v>2</v>
      </c>
      <c r="H4" s="35"/>
      <c r="I4" s="29" t="s">
        <v>268</v>
      </c>
      <c r="J4" s="95"/>
      <c r="K4" s="69"/>
      <c r="L4" s="154"/>
    </row>
    <row r="5" spans="1:12" s="4" customFormat="1" ht="14.25" customHeight="1" x14ac:dyDescent="0.25">
      <c r="A5" s="143" t="s">
        <v>271</v>
      </c>
      <c r="C5" s="18">
        <v>2</v>
      </c>
      <c r="D5" s="28" t="s">
        <v>29</v>
      </c>
      <c r="E5" s="18"/>
      <c r="F5" s="35">
        <f t="shared" si="0"/>
        <v>10</v>
      </c>
      <c r="G5" s="35">
        <f t="shared" si="1"/>
        <v>3</v>
      </c>
      <c r="H5" s="35"/>
      <c r="I5" s="29" t="s">
        <v>270</v>
      </c>
      <c r="J5" s="95"/>
      <c r="K5" s="69"/>
      <c r="L5" s="154"/>
    </row>
    <row r="6" spans="1:12" s="4" customFormat="1" ht="14.25" customHeight="1" x14ac:dyDescent="0.25">
      <c r="A6" s="143" t="s">
        <v>272</v>
      </c>
      <c r="B6" s="4" t="s">
        <v>190</v>
      </c>
      <c r="C6" s="18">
        <v>1</v>
      </c>
      <c r="D6" s="28" t="s">
        <v>29</v>
      </c>
      <c r="E6" s="18"/>
      <c r="F6" s="35">
        <f t="shared" si="0"/>
        <v>12</v>
      </c>
      <c r="G6" s="35">
        <f t="shared" si="1"/>
        <v>4</v>
      </c>
      <c r="H6" s="116" t="s">
        <v>708</v>
      </c>
      <c r="I6" s="29" t="s">
        <v>274</v>
      </c>
      <c r="J6" s="95"/>
      <c r="K6" s="69"/>
      <c r="L6" s="154"/>
    </row>
    <row r="7" spans="1:12" s="4" customFormat="1" ht="15" customHeight="1" x14ac:dyDescent="0.25">
      <c r="A7" s="144" t="s">
        <v>273</v>
      </c>
      <c r="B7" s="80" t="s">
        <v>258</v>
      </c>
      <c r="C7" s="30">
        <v>2</v>
      </c>
      <c r="D7" s="31" t="s">
        <v>66</v>
      </c>
      <c r="E7" s="30"/>
      <c r="F7" s="77">
        <f t="shared" si="0"/>
        <v>13</v>
      </c>
      <c r="G7" s="77">
        <f t="shared" si="1"/>
        <v>5</v>
      </c>
      <c r="H7" s="117" t="s">
        <v>709</v>
      </c>
      <c r="I7" s="54" t="s">
        <v>275</v>
      </c>
      <c r="J7" s="130"/>
      <c r="K7" s="70"/>
      <c r="L7" s="155"/>
    </row>
    <row r="8" spans="1:12" s="4" customFormat="1" ht="14.25" customHeight="1" x14ac:dyDescent="0.25">
      <c r="A8" s="32" t="s">
        <v>282</v>
      </c>
      <c r="B8" s="4" t="s">
        <v>188</v>
      </c>
      <c r="C8" s="18">
        <v>1</v>
      </c>
      <c r="D8" s="28" t="s">
        <v>29</v>
      </c>
      <c r="E8" s="18"/>
      <c r="F8" s="35">
        <f t="shared" si="0"/>
        <v>15</v>
      </c>
      <c r="G8" s="35">
        <f>G7+1</f>
        <v>6</v>
      </c>
      <c r="H8" s="116" t="s">
        <v>708</v>
      </c>
      <c r="I8" s="29" t="s">
        <v>277</v>
      </c>
      <c r="J8" s="95"/>
      <c r="K8" s="69"/>
      <c r="L8" s="153" t="s">
        <v>276</v>
      </c>
    </row>
    <row r="9" spans="1:12" s="4" customFormat="1" ht="14.25" customHeight="1" x14ac:dyDescent="0.25">
      <c r="A9" s="143" t="s">
        <v>283</v>
      </c>
      <c r="C9" s="18">
        <v>2</v>
      </c>
      <c r="D9" s="28" t="s">
        <v>29</v>
      </c>
      <c r="E9" s="18"/>
      <c r="F9" s="35">
        <f t="shared" si="0"/>
        <v>16</v>
      </c>
      <c r="G9" s="35">
        <f t="shared" si="1"/>
        <v>7</v>
      </c>
      <c r="H9" s="35"/>
      <c r="I9" s="29" t="s">
        <v>278</v>
      </c>
      <c r="J9" s="95" t="s">
        <v>254</v>
      </c>
      <c r="K9" s="69"/>
      <c r="L9" s="154"/>
    </row>
    <row r="10" spans="1:12" s="4" customFormat="1" ht="14.25" customHeight="1" x14ac:dyDescent="0.25">
      <c r="A10" s="32" t="s">
        <v>284</v>
      </c>
      <c r="B10" s="4" t="s">
        <v>208</v>
      </c>
      <c r="C10" s="18">
        <v>3</v>
      </c>
      <c r="D10" s="28" t="s">
        <v>66</v>
      </c>
      <c r="E10" s="18"/>
      <c r="F10" s="35">
        <f t="shared" si="0"/>
        <v>18</v>
      </c>
      <c r="G10" s="35">
        <f t="shared" si="1"/>
        <v>8</v>
      </c>
      <c r="H10" s="116" t="s">
        <v>709</v>
      </c>
      <c r="I10" s="29" t="s">
        <v>279</v>
      </c>
      <c r="J10" s="95" t="s">
        <v>254</v>
      </c>
      <c r="K10" s="69"/>
      <c r="L10" s="154"/>
    </row>
    <row r="11" spans="1:12" s="4" customFormat="1" ht="14.25" customHeight="1" x14ac:dyDescent="0.25">
      <c r="A11" s="32" t="s">
        <v>285</v>
      </c>
      <c r="B11" s="4" t="s">
        <v>190</v>
      </c>
      <c r="C11" s="18">
        <v>1</v>
      </c>
      <c r="D11" s="28" t="s">
        <v>29</v>
      </c>
      <c r="E11" s="18"/>
      <c r="F11" s="35">
        <f t="shared" si="0"/>
        <v>21</v>
      </c>
      <c r="G11" s="35">
        <f t="shared" si="1"/>
        <v>9</v>
      </c>
      <c r="H11" s="116" t="s">
        <v>708</v>
      </c>
      <c r="I11" s="29" t="s">
        <v>280</v>
      </c>
      <c r="J11" s="95" t="s">
        <v>254</v>
      </c>
      <c r="K11" s="69"/>
      <c r="L11" s="154"/>
    </row>
    <row r="12" spans="1:12" s="4" customFormat="1" ht="14.25" customHeight="1" x14ac:dyDescent="0.25">
      <c r="A12" s="144" t="s">
        <v>286</v>
      </c>
      <c r="B12" s="80" t="s">
        <v>287</v>
      </c>
      <c r="C12" s="30">
        <v>1</v>
      </c>
      <c r="D12" s="31" t="s">
        <v>29</v>
      </c>
      <c r="E12" s="30"/>
      <c r="F12" s="77">
        <f t="shared" si="0"/>
        <v>22</v>
      </c>
      <c r="G12" s="77">
        <f t="shared" si="1"/>
        <v>10</v>
      </c>
      <c r="H12" s="117" t="s">
        <v>708</v>
      </c>
      <c r="I12" s="54" t="s">
        <v>281</v>
      </c>
      <c r="J12" s="130" t="s">
        <v>254</v>
      </c>
      <c r="K12" s="70"/>
      <c r="L12" s="155"/>
    </row>
    <row r="13" spans="1:12" ht="14.25" customHeight="1" x14ac:dyDescent="0.25">
      <c r="A13" s="37" t="s">
        <v>310</v>
      </c>
      <c r="B13" s="38" t="s">
        <v>325</v>
      </c>
      <c r="C13" s="24">
        <v>1</v>
      </c>
      <c r="D13" s="40" t="s">
        <v>29</v>
      </c>
      <c r="E13" s="39"/>
      <c r="F13" s="75">
        <f t="shared" si="0"/>
        <v>23</v>
      </c>
      <c r="G13" s="75">
        <f t="shared" si="1"/>
        <v>11</v>
      </c>
      <c r="H13" s="118" t="s">
        <v>708</v>
      </c>
      <c r="I13" s="86" t="s">
        <v>295</v>
      </c>
      <c r="J13" s="131" t="s">
        <v>254</v>
      </c>
      <c r="K13" s="72"/>
      <c r="L13" s="153" t="s">
        <v>294</v>
      </c>
    </row>
    <row r="14" spans="1:12" ht="14.25" customHeight="1" x14ac:dyDescent="0.25">
      <c r="A14" s="23" t="s">
        <v>311</v>
      </c>
      <c r="B14" s="1" t="s">
        <v>325</v>
      </c>
      <c r="C14" s="24">
        <v>1</v>
      </c>
      <c r="D14" s="25" t="s">
        <v>29</v>
      </c>
      <c r="E14" s="24"/>
      <c r="F14" s="35">
        <f t="shared" si="0"/>
        <v>24</v>
      </c>
      <c r="G14" s="35">
        <f t="shared" si="1"/>
        <v>12</v>
      </c>
      <c r="H14" s="116" t="s">
        <v>708</v>
      </c>
      <c r="I14" s="7" t="s">
        <v>296</v>
      </c>
      <c r="J14" s="129" t="s">
        <v>254</v>
      </c>
      <c r="K14" s="68"/>
      <c r="L14" s="154"/>
    </row>
    <row r="15" spans="1:12" ht="14.25" customHeight="1" x14ac:dyDescent="0.25">
      <c r="A15" s="32" t="s">
        <v>312</v>
      </c>
      <c r="B15" s="1" t="s">
        <v>325</v>
      </c>
      <c r="C15" s="24">
        <v>1</v>
      </c>
      <c r="D15" s="25" t="s">
        <v>29</v>
      </c>
      <c r="E15" s="18"/>
      <c r="F15" s="35">
        <f t="shared" si="0"/>
        <v>25</v>
      </c>
      <c r="G15" s="35">
        <f t="shared" si="1"/>
        <v>13</v>
      </c>
      <c r="H15" s="116" t="s">
        <v>708</v>
      </c>
      <c r="I15" s="7" t="s">
        <v>297</v>
      </c>
      <c r="J15" s="129" t="s">
        <v>254</v>
      </c>
      <c r="K15" s="68"/>
      <c r="L15" s="154"/>
    </row>
    <row r="16" spans="1:12" s="4" customFormat="1" ht="14.25" customHeight="1" x14ac:dyDescent="0.25">
      <c r="A16" s="32" t="s">
        <v>313</v>
      </c>
      <c r="B16" s="1" t="s">
        <v>325</v>
      </c>
      <c r="C16" s="24">
        <v>1</v>
      </c>
      <c r="D16" s="25" t="s">
        <v>29</v>
      </c>
      <c r="E16" s="18"/>
      <c r="F16" s="35">
        <f t="shared" si="0"/>
        <v>26</v>
      </c>
      <c r="G16" s="35">
        <f t="shared" si="1"/>
        <v>14</v>
      </c>
      <c r="H16" s="116" t="s">
        <v>708</v>
      </c>
      <c r="I16" s="7" t="s">
        <v>298</v>
      </c>
      <c r="J16" s="129" t="s">
        <v>254</v>
      </c>
      <c r="K16" s="68"/>
      <c r="L16" s="154"/>
    </row>
    <row r="17" spans="1:12" s="4" customFormat="1" ht="14.25" customHeight="1" x14ac:dyDescent="0.25">
      <c r="A17" s="32" t="s">
        <v>314</v>
      </c>
      <c r="B17" s="1" t="s">
        <v>325</v>
      </c>
      <c r="C17" s="24">
        <v>1</v>
      </c>
      <c r="D17" s="25" t="s">
        <v>29</v>
      </c>
      <c r="E17" s="18"/>
      <c r="F17" s="35">
        <f t="shared" si="0"/>
        <v>27</v>
      </c>
      <c r="G17" s="35">
        <f t="shared" si="1"/>
        <v>15</v>
      </c>
      <c r="H17" s="116" t="s">
        <v>708</v>
      </c>
      <c r="I17" s="7" t="s">
        <v>299</v>
      </c>
      <c r="J17" s="129" t="s">
        <v>254</v>
      </c>
      <c r="K17" s="68"/>
      <c r="L17" s="154"/>
    </row>
    <row r="18" spans="1:12" ht="14.25" customHeight="1" x14ac:dyDescent="0.25">
      <c r="A18" s="23" t="s">
        <v>315</v>
      </c>
      <c r="B18" s="1" t="s">
        <v>325</v>
      </c>
      <c r="C18" s="24">
        <v>1</v>
      </c>
      <c r="D18" s="25" t="s">
        <v>29</v>
      </c>
      <c r="E18" s="24"/>
      <c r="F18" s="35">
        <f t="shared" si="0"/>
        <v>28</v>
      </c>
      <c r="G18" s="35">
        <f t="shared" si="1"/>
        <v>16</v>
      </c>
      <c r="H18" s="116" t="s">
        <v>708</v>
      </c>
      <c r="I18" s="7" t="s">
        <v>300</v>
      </c>
      <c r="J18" s="129" t="s">
        <v>254</v>
      </c>
      <c r="K18" s="68"/>
      <c r="L18" s="154"/>
    </row>
    <row r="19" spans="1:12" ht="14.25" customHeight="1" x14ac:dyDescent="0.25">
      <c r="A19" s="23" t="s">
        <v>316</v>
      </c>
      <c r="B19" s="1" t="s">
        <v>325</v>
      </c>
      <c r="C19" s="24">
        <v>1</v>
      </c>
      <c r="D19" s="25" t="s">
        <v>29</v>
      </c>
      <c r="E19" s="24"/>
      <c r="F19" s="35">
        <f t="shared" si="0"/>
        <v>29</v>
      </c>
      <c r="G19" s="35">
        <f t="shared" si="1"/>
        <v>17</v>
      </c>
      <c r="H19" s="116" t="s">
        <v>708</v>
      </c>
      <c r="I19" s="7" t="s">
        <v>301</v>
      </c>
      <c r="J19" s="129" t="s">
        <v>254</v>
      </c>
      <c r="K19" s="68"/>
      <c r="L19" s="154"/>
    </row>
    <row r="20" spans="1:12" ht="14.25" customHeight="1" x14ac:dyDescent="0.25">
      <c r="A20" s="23" t="s">
        <v>317</v>
      </c>
      <c r="B20" s="1" t="s">
        <v>325</v>
      </c>
      <c r="C20" s="24">
        <v>1</v>
      </c>
      <c r="D20" s="25" t="s">
        <v>29</v>
      </c>
      <c r="E20" s="24"/>
      <c r="F20" s="35">
        <f t="shared" si="0"/>
        <v>30</v>
      </c>
      <c r="G20" s="35">
        <f t="shared" si="1"/>
        <v>18</v>
      </c>
      <c r="H20" s="116" t="s">
        <v>708</v>
      </c>
      <c r="I20" s="7" t="s">
        <v>302</v>
      </c>
      <c r="J20" s="129" t="s">
        <v>254</v>
      </c>
      <c r="K20" s="68"/>
      <c r="L20" s="154"/>
    </row>
    <row r="21" spans="1:12" ht="14.25" customHeight="1" x14ac:dyDescent="0.25">
      <c r="A21" s="23" t="s">
        <v>318</v>
      </c>
      <c r="B21" s="1" t="s">
        <v>325</v>
      </c>
      <c r="C21" s="24">
        <v>1</v>
      </c>
      <c r="D21" s="25" t="s">
        <v>29</v>
      </c>
      <c r="E21" s="24"/>
      <c r="F21" s="35">
        <f t="shared" si="0"/>
        <v>31</v>
      </c>
      <c r="G21" s="35">
        <f t="shared" si="1"/>
        <v>19</v>
      </c>
      <c r="H21" s="116" t="s">
        <v>708</v>
      </c>
      <c r="I21" s="7" t="s">
        <v>303</v>
      </c>
      <c r="J21" s="129" t="s">
        <v>254</v>
      </c>
      <c r="K21" s="68"/>
      <c r="L21" s="154"/>
    </row>
    <row r="22" spans="1:12" ht="14.25" customHeight="1" x14ac:dyDescent="0.25">
      <c r="A22" s="23" t="s">
        <v>319</v>
      </c>
      <c r="B22" s="1" t="s">
        <v>325</v>
      </c>
      <c r="C22" s="24">
        <v>1</v>
      </c>
      <c r="D22" s="25" t="s">
        <v>29</v>
      </c>
      <c r="E22" s="24"/>
      <c r="F22" s="35">
        <f t="shared" si="0"/>
        <v>32</v>
      </c>
      <c r="G22" s="35">
        <f t="shared" si="1"/>
        <v>20</v>
      </c>
      <c r="H22" s="116" t="s">
        <v>708</v>
      </c>
      <c r="I22" s="7" t="s">
        <v>304</v>
      </c>
      <c r="J22" s="129" t="s">
        <v>254</v>
      </c>
      <c r="K22" s="68"/>
      <c r="L22" s="154"/>
    </row>
    <row r="23" spans="1:12" ht="14.25" customHeight="1" x14ac:dyDescent="0.25">
      <c r="A23" s="23" t="s">
        <v>320</v>
      </c>
      <c r="B23" s="1" t="s">
        <v>325</v>
      </c>
      <c r="C23" s="24">
        <v>1</v>
      </c>
      <c r="D23" s="25" t="s">
        <v>29</v>
      </c>
      <c r="E23" s="24"/>
      <c r="F23" s="35">
        <f t="shared" si="0"/>
        <v>33</v>
      </c>
      <c r="G23" s="35">
        <f t="shared" si="1"/>
        <v>21</v>
      </c>
      <c r="H23" s="116" t="s">
        <v>708</v>
      </c>
      <c r="I23" s="7" t="s">
        <v>305</v>
      </c>
      <c r="J23" s="129" t="s">
        <v>254</v>
      </c>
      <c r="K23" s="68"/>
      <c r="L23" s="154"/>
    </row>
    <row r="24" spans="1:12" ht="14.25" customHeight="1" x14ac:dyDescent="0.25">
      <c r="A24" s="23" t="s">
        <v>321</v>
      </c>
      <c r="B24" s="1" t="s">
        <v>325</v>
      </c>
      <c r="C24" s="24">
        <v>1</v>
      </c>
      <c r="D24" s="25" t="s">
        <v>29</v>
      </c>
      <c r="E24" s="24"/>
      <c r="F24" s="35">
        <f t="shared" si="0"/>
        <v>34</v>
      </c>
      <c r="G24" s="35">
        <f t="shared" si="1"/>
        <v>22</v>
      </c>
      <c r="H24" s="116" t="s">
        <v>708</v>
      </c>
      <c r="I24" s="7" t="s">
        <v>306</v>
      </c>
      <c r="J24" s="129" t="s">
        <v>254</v>
      </c>
      <c r="K24" s="68"/>
      <c r="L24" s="154"/>
    </row>
    <row r="25" spans="1:12" ht="14.25" customHeight="1" x14ac:dyDescent="0.25">
      <c r="A25" s="23" t="s">
        <v>322</v>
      </c>
      <c r="B25" s="1" t="s">
        <v>325</v>
      </c>
      <c r="C25" s="24">
        <v>1</v>
      </c>
      <c r="D25" s="25" t="s">
        <v>29</v>
      </c>
      <c r="E25" s="24"/>
      <c r="F25" s="35">
        <f t="shared" si="0"/>
        <v>35</v>
      </c>
      <c r="G25" s="35">
        <f t="shared" si="1"/>
        <v>23</v>
      </c>
      <c r="H25" s="116" t="s">
        <v>708</v>
      </c>
      <c r="I25" s="7" t="s">
        <v>307</v>
      </c>
      <c r="J25" s="129" t="s">
        <v>254</v>
      </c>
      <c r="K25" s="68"/>
      <c r="L25" s="154"/>
    </row>
    <row r="26" spans="1:12" ht="14.25" customHeight="1" x14ac:dyDescent="0.25">
      <c r="A26" s="23" t="s">
        <v>323</v>
      </c>
      <c r="B26" s="1" t="s">
        <v>325</v>
      </c>
      <c r="C26" s="24">
        <v>1</v>
      </c>
      <c r="D26" s="25" t="s">
        <v>29</v>
      </c>
      <c r="E26" s="24"/>
      <c r="F26" s="35">
        <f t="shared" si="0"/>
        <v>36</v>
      </c>
      <c r="G26" s="35">
        <f t="shared" si="1"/>
        <v>24</v>
      </c>
      <c r="H26" s="116" t="s">
        <v>708</v>
      </c>
      <c r="I26" s="7" t="s">
        <v>308</v>
      </c>
      <c r="J26" s="129" t="s">
        <v>254</v>
      </c>
      <c r="K26" s="68"/>
      <c r="L26" s="154"/>
    </row>
    <row r="27" spans="1:12" ht="14.25" customHeight="1" x14ac:dyDescent="0.25">
      <c r="A27" s="41" t="s">
        <v>324</v>
      </c>
      <c r="B27" s="42" t="s">
        <v>325</v>
      </c>
      <c r="C27" s="36">
        <v>1</v>
      </c>
      <c r="D27" s="43" t="s">
        <v>29</v>
      </c>
      <c r="E27" s="36"/>
      <c r="F27" s="77">
        <f t="shared" si="0"/>
        <v>37</v>
      </c>
      <c r="G27" s="77">
        <f t="shared" si="1"/>
        <v>25</v>
      </c>
      <c r="H27" s="117" t="s">
        <v>708</v>
      </c>
      <c r="I27" s="66" t="s">
        <v>309</v>
      </c>
      <c r="J27" s="132" t="s">
        <v>254</v>
      </c>
      <c r="K27" s="71"/>
      <c r="L27" s="155"/>
    </row>
    <row r="28" spans="1:12" ht="14.25" customHeight="1" x14ac:dyDescent="0.25">
      <c r="A28" s="145" t="s">
        <v>329</v>
      </c>
      <c r="B28" s="1" t="s">
        <v>256</v>
      </c>
      <c r="C28" s="24">
        <v>1</v>
      </c>
      <c r="D28" s="25" t="s">
        <v>29</v>
      </c>
      <c r="E28" s="24"/>
      <c r="F28" s="35">
        <f t="shared" si="0"/>
        <v>38</v>
      </c>
      <c r="G28" s="35">
        <f>G27+1</f>
        <v>26</v>
      </c>
      <c r="H28" s="116" t="s">
        <v>708</v>
      </c>
      <c r="I28" s="55" t="s">
        <v>117</v>
      </c>
      <c r="J28" s="129"/>
      <c r="K28" s="68"/>
      <c r="L28" s="153" t="s">
        <v>328</v>
      </c>
    </row>
    <row r="29" spans="1:12" ht="14.25" customHeight="1" x14ac:dyDescent="0.25">
      <c r="A29" s="149" t="s">
        <v>330</v>
      </c>
      <c r="B29" s="1" t="s">
        <v>256</v>
      </c>
      <c r="C29" s="24">
        <v>1</v>
      </c>
      <c r="D29" s="25" t="s">
        <v>29</v>
      </c>
      <c r="E29" s="24"/>
      <c r="F29" s="35">
        <f t="shared" si="0"/>
        <v>39</v>
      </c>
      <c r="G29" s="35">
        <f t="shared" si="1"/>
        <v>27</v>
      </c>
      <c r="H29" s="116" t="s">
        <v>708</v>
      </c>
      <c r="I29" s="55" t="s">
        <v>213</v>
      </c>
      <c r="J29" s="129"/>
      <c r="K29" s="68"/>
      <c r="L29" s="154"/>
    </row>
    <row r="30" spans="1:12" ht="14.25" customHeight="1" x14ac:dyDescent="0.25">
      <c r="A30" s="149" t="s">
        <v>331</v>
      </c>
      <c r="B30" s="1" t="s">
        <v>256</v>
      </c>
      <c r="C30" s="24">
        <v>1</v>
      </c>
      <c r="D30" s="25" t="s">
        <v>29</v>
      </c>
      <c r="E30" s="24"/>
      <c r="F30" s="35">
        <f t="shared" si="0"/>
        <v>40</v>
      </c>
      <c r="G30" s="35">
        <f t="shared" si="1"/>
        <v>28</v>
      </c>
      <c r="H30" s="116" t="s">
        <v>708</v>
      </c>
      <c r="I30" s="55" t="s">
        <v>214</v>
      </c>
      <c r="J30" s="129"/>
      <c r="K30" s="68"/>
      <c r="L30" s="154"/>
    </row>
    <row r="31" spans="1:12" ht="14.25" customHeight="1" x14ac:dyDescent="0.25">
      <c r="A31" s="145" t="s">
        <v>332</v>
      </c>
      <c r="B31" s="1" t="s">
        <v>188</v>
      </c>
      <c r="C31" s="24">
        <v>1</v>
      </c>
      <c r="D31" s="25" t="s">
        <v>29</v>
      </c>
      <c r="E31" s="24"/>
      <c r="F31" s="35">
        <f t="shared" si="0"/>
        <v>41</v>
      </c>
      <c r="G31" s="35">
        <f t="shared" si="1"/>
        <v>29</v>
      </c>
      <c r="H31" s="116" t="s">
        <v>708</v>
      </c>
      <c r="I31" s="55" t="s">
        <v>154</v>
      </c>
      <c r="J31" s="129"/>
      <c r="K31" s="68"/>
      <c r="L31" s="154"/>
    </row>
    <row r="32" spans="1:12" ht="14.25" customHeight="1" x14ac:dyDescent="0.25">
      <c r="A32" s="145" t="s">
        <v>333</v>
      </c>
      <c r="B32" s="1" t="s">
        <v>188</v>
      </c>
      <c r="C32" s="24">
        <v>1</v>
      </c>
      <c r="D32" s="25" t="s">
        <v>29</v>
      </c>
      <c r="E32" s="24"/>
      <c r="F32" s="35">
        <f t="shared" si="0"/>
        <v>42</v>
      </c>
      <c r="G32" s="35">
        <f t="shared" si="1"/>
        <v>30</v>
      </c>
      <c r="H32" s="116" t="s">
        <v>708</v>
      </c>
      <c r="I32" s="55" t="s">
        <v>155</v>
      </c>
      <c r="J32" s="129"/>
      <c r="K32" s="68"/>
      <c r="L32" s="154"/>
    </row>
    <row r="33" spans="1:12" ht="14.25" customHeight="1" x14ac:dyDescent="0.25">
      <c r="A33" s="145" t="s">
        <v>334</v>
      </c>
      <c r="B33" s="1" t="s">
        <v>188</v>
      </c>
      <c r="C33" s="24">
        <v>1</v>
      </c>
      <c r="D33" s="25" t="s">
        <v>29</v>
      </c>
      <c r="E33" s="24"/>
      <c r="F33" s="35">
        <f t="shared" si="0"/>
        <v>43</v>
      </c>
      <c r="G33" s="35">
        <f t="shared" si="1"/>
        <v>31</v>
      </c>
      <c r="H33" s="116" t="s">
        <v>708</v>
      </c>
      <c r="I33" s="55" t="s">
        <v>28</v>
      </c>
      <c r="J33" s="129"/>
      <c r="K33" s="68"/>
      <c r="L33" s="154"/>
    </row>
    <row r="34" spans="1:12" ht="13.5" customHeight="1" x14ac:dyDescent="0.25">
      <c r="A34" s="146" t="s">
        <v>337</v>
      </c>
      <c r="B34" s="80" t="s">
        <v>258</v>
      </c>
      <c r="C34" s="60">
        <v>2</v>
      </c>
      <c r="D34" s="61" t="s">
        <v>66</v>
      </c>
      <c r="E34" s="87"/>
      <c r="F34" s="77">
        <f t="shared" si="0"/>
        <v>44</v>
      </c>
      <c r="G34" s="77">
        <f t="shared" si="1"/>
        <v>32</v>
      </c>
      <c r="H34" s="117" t="s">
        <v>709</v>
      </c>
      <c r="I34" s="88" t="s">
        <v>335</v>
      </c>
      <c r="J34" s="132" t="s">
        <v>254</v>
      </c>
      <c r="K34" s="71"/>
      <c r="L34" s="155"/>
    </row>
    <row r="35" spans="1:12" ht="14.25" customHeight="1" x14ac:dyDescent="0.25">
      <c r="A35" s="145" t="s">
        <v>338</v>
      </c>
      <c r="B35" s="1" t="s">
        <v>257</v>
      </c>
      <c r="C35" s="24">
        <v>1</v>
      </c>
      <c r="D35" s="25" t="s">
        <v>29</v>
      </c>
      <c r="E35" s="24"/>
      <c r="F35" s="35">
        <f t="shared" si="0"/>
        <v>46</v>
      </c>
      <c r="G35" s="35">
        <f>G34+1</f>
        <v>33</v>
      </c>
      <c r="H35" s="116" t="s">
        <v>708</v>
      </c>
      <c r="I35" s="7" t="s">
        <v>368</v>
      </c>
      <c r="J35" s="129"/>
      <c r="K35" s="68"/>
      <c r="L35" s="153" t="s">
        <v>336</v>
      </c>
    </row>
    <row r="36" spans="1:12" ht="13.2" x14ac:dyDescent="0.25">
      <c r="A36" s="23" t="s">
        <v>339</v>
      </c>
      <c r="B36" s="1" t="s">
        <v>260</v>
      </c>
      <c r="C36" s="24">
        <v>1</v>
      </c>
      <c r="D36" s="25" t="s">
        <v>29</v>
      </c>
      <c r="E36" s="24"/>
      <c r="F36" s="35">
        <f t="shared" si="0"/>
        <v>47</v>
      </c>
      <c r="G36" s="35">
        <f t="shared" si="1"/>
        <v>34</v>
      </c>
      <c r="H36" s="116" t="s">
        <v>708</v>
      </c>
      <c r="I36" s="89" t="s">
        <v>369</v>
      </c>
      <c r="J36" s="129"/>
      <c r="K36" s="68"/>
      <c r="L36" s="154"/>
    </row>
    <row r="37" spans="1:12" ht="14.25" customHeight="1" x14ac:dyDescent="0.25">
      <c r="A37" s="23" t="s">
        <v>340</v>
      </c>
      <c r="B37" s="1" t="s">
        <v>260</v>
      </c>
      <c r="C37" s="24">
        <v>1</v>
      </c>
      <c r="D37" s="25" t="s">
        <v>29</v>
      </c>
      <c r="E37" s="24"/>
      <c r="F37" s="35">
        <f t="shared" si="0"/>
        <v>48</v>
      </c>
      <c r="G37" s="35">
        <f t="shared" si="1"/>
        <v>35</v>
      </c>
      <c r="H37" s="116" t="s">
        <v>708</v>
      </c>
      <c r="I37" s="89" t="s">
        <v>370</v>
      </c>
      <c r="J37" s="129" t="s">
        <v>254</v>
      </c>
      <c r="K37" s="68"/>
      <c r="L37" s="154"/>
    </row>
    <row r="38" spans="1:12" ht="14.25" customHeight="1" x14ac:dyDescent="0.25">
      <c r="A38" s="23" t="s">
        <v>341</v>
      </c>
      <c r="B38" s="1" t="s">
        <v>260</v>
      </c>
      <c r="C38" s="24">
        <v>1</v>
      </c>
      <c r="D38" s="25" t="s">
        <v>29</v>
      </c>
      <c r="E38" s="24"/>
      <c r="F38" s="35">
        <f t="shared" si="0"/>
        <v>49</v>
      </c>
      <c r="G38" s="35">
        <f t="shared" si="1"/>
        <v>36</v>
      </c>
      <c r="H38" s="116" t="s">
        <v>708</v>
      </c>
      <c r="I38" s="89" t="s">
        <v>371</v>
      </c>
      <c r="J38" s="129" t="s">
        <v>254</v>
      </c>
      <c r="K38" s="68"/>
      <c r="L38" s="154"/>
    </row>
    <row r="39" spans="1:12" ht="14.25" customHeight="1" x14ac:dyDescent="0.25">
      <c r="A39" s="23" t="s">
        <v>342</v>
      </c>
      <c r="B39" s="1" t="s">
        <v>260</v>
      </c>
      <c r="C39" s="24">
        <v>1</v>
      </c>
      <c r="D39" s="25" t="s">
        <v>29</v>
      </c>
      <c r="E39" s="24"/>
      <c r="F39" s="35">
        <f t="shared" si="0"/>
        <v>50</v>
      </c>
      <c r="G39" s="35">
        <f t="shared" si="1"/>
        <v>37</v>
      </c>
      <c r="H39" s="116" t="s">
        <v>708</v>
      </c>
      <c r="I39" s="89" t="s">
        <v>372</v>
      </c>
      <c r="J39" s="129"/>
      <c r="K39" s="68"/>
      <c r="L39" s="154"/>
    </row>
    <row r="40" spans="1:12" ht="14.25" customHeight="1" x14ac:dyDescent="0.25">
      <c r="A40" s="45" t="s">
        <v>343</v>
      </c>
      <c r="B40" s="1" t="s">
        <v>260</v>
      </c>
      <c r="C40" s="24">
        <v>1</v>
      </c>
      <c r="D40" s="25" t="s">
        <v>29</v>
      </c>
      <c r="E40" s="24"/>
      <c r="F40" s="35">
        <f t="shared" si="0"/>
        <v>51</v>
      </c>
      <c r="G40" s="35">
        <f t="shared" si="1"/>
        <v>38</v>
      </c>
      <c r="H40" s="116" t="s">
        <v>708</v>
      </c>
      <c r="I40" s="89" t="s">
        <v>373</v>
      </c>
      <c r="J40" s="129" t="s">
        <v>254</v>
      </c>
      <c r="K40" s="68"/>
      <c r="L40" s="154"/>
    </row>
    <row r="41" spans="1:12" ht="14.25" customHeight="1" x14ac:dyDescent="0.25">
      <c r="A41" s="45" t="s">
        <v>344</v>
      </c>
      <c r="B41" s="1" t="s">
        <v>260</v>
      </c>
      <c r="C41" s="24">
        <v>1</v>
      </c>
      <c r="D41" s="25" t="s">
        <v>29</v>
      </c>
      <c r="E41" s="24"/>
      <c r="F41" s="35">
        <f t="shared" si="0"/>
        <v>52</v>
      </c>
      <c r="G41" s="35">
        <f t="shared" si="1"/>
        <v>39</v>
      </c>
      <c r="H41" s="116" t="s">
        <v>708</v>
      </c>
      <c r="I41" s="89" t="s">
        <v>374</v>
      </c>
      <c r="J41" s="129" t="s">
        <v>254</v>
      </c>
      <c r="K41" s="68"/>
      <c r="L41" s="154"/>
    </row>
    <row r="42" spans="1:12" ht="14.25" customHeight="1" x14ac:dyDescent="0.25">
      <c r="A42" s="45" t="s">
        <v>345</v>
      </c>
      <c r="B42" s="1" t="s">
        <v>260</v>
      </c>
      <c r="C42" s="24">
        <v>1</v>
      </c>
      <c r="D42" s="25" t="s">
        <v>29</v>
      </c>
      <c r="E42" s="24"/>
      <c r="F42" s="35">
        <f t="shared" si="0"/>
        <v>53</v>
      </c>
      <c r="G42" s="35">
        <f t="shared" si="1"/>
        <v>40</v>
      </c>
      <c r="H42" s="116" t="s">
        <v>708</v>
      </c>
      <c r="I42" s="89" t="s">
        <v>108</v>
      </c>
      <c r="J42" s="129"/>
      <c r="K42" s="68"/>
      <c r="L42" s="154"/>
    </row>
    <row r="43" spans="1:12" ht="14.25" customHeight="1" x14ac:dyDescent="0.25">
      <c r="A43" s="45" t="s">
        <v>346</v>
      </c>
      <c r="B43" s="1" t="s">
        <v>260</v>
      </c>
      <c r="C43" s="24">
        <v>1</v>
      </c>
      <c r="D43" s="25" t="s">
        <v>29</v>
      </c>
      <c r="E43" s="24"/>
      <c r="F43" s="35">
        <f t="shared" si="0"/>
        <v>54</v>
      </c>
      <c r="G43" s="35">
        <f t="shared" si="1"/>
        <v>41</v>
      </c>
      <c r="H43" s="116" t="s">
        <v>708</v>
      </c>
      <c r="I43" s="89" t="s">
        <v>375</v>
      </c>
      <c r="J43" s="129" t="s">
        <v>254</v>
      </c>
      <c r="K43" s="68"/>
      <c r="L43" s="154"/>
    </row>
    <row r="44" spans="1:12" ht="14.25" customHeight="1" x14ac:dyDescent="0.25">
      <c r="A44" s="45" t="s">
        <v>347</v>
      </c>
      <c r="B44" s="1" t="s">
        <v>260</v>
      </c>
      <c r="C44" s="24">
        <v>1</v>
      </c>
      <c r="D44" s="25" t="s">
        <v>29</v>
      </c>
      <c r="E44" s="24"/>
      <c r="F44" s="35">
        <f t="shared" si="0"/>
        <v>55</v>
      </c>
      <c r="G44" s="35">
        <f t="shared" si="1"/>
        <v>42</v>
      </c>
      <c r="H44" s="116" t="s">
        <v>708</v>
      </c>
      <c r="I44" s="89" t="s">
        <v>376</v>
      </c>
      <c r="J44" s="129" t="s">
        <v>254</v>
      </c>
      <c r="K44" s="68"/>
      <c r="L44" s="154"/>
    </row>
    <row r="45" spans="1:12" ht="14.25" customHeight="1" x14ac:dyDescent="0.25">
      <c r="A45" s="45" t="s">
        <v>348</v>
      </c>
      <c r="B45" s="1" t="s">
        <v>260</v>
      </c>
      <c r="C45" s="24">
        <v>1</v>
      </c>
      <c r="D45" s="25" t="s">
        <v>29</v>
      </c>
      <c r="E45" s="24"/>
      <c r="F45" s="35">
        <f t="shared" si="0"/>
        <v>56</v>
      </c>
      <c r="G45" s="35">
        <f t="shared" si="1"/>
        <v>43</v>
      </c>
      <c r="H45" s="116" t="s">
        <v>708</v>
      </c>
      <c r="I45" s="89" t="s">
        <v>377</v>
      </c>
      <c r="J45" s="129"/>
      <c r="K45" s="68"/>
      <c r="L45" s="154"/>
    </row>
    <row r="46" spans="1:12" ht="14.25" customHeight="1" x14ac:dyDescent="0.25">
      <c r="A46" s="45" t="s">
        <v>349</v>
      </c>
      <c r="B46" s="1" t="s">
        <v>260</v>
      </c>
      <c r="C46" s="24">
        <v>1</v>
      </c>
      <c r="D46" s="25" t="s">
        <v>29</v>
      </c>
      <c r="E46" s="24"/>
      <c r="F46" s="35">
        <f t="shared" si="0"/>
        <v>57</v>
      </c>
      <c r="G46" s="35">
        <f t="shared" si="1"/>
        <v>44</v>
      </c>
      <c r="H46" s="116" t="s">
        <v>708</v>
      </c>
      <c r="I46" s="89" t="s">
        <v>378</v>
      </c>
      <c r="J46" s="129" t="s">
        <v>254</v>
      </c>
      <c r="K46" s="68"/>
      <c r="L46" s="154"/>
    </row>
    <row r="47" spans="1:12" ht="14.25" customHeight="1" x14ac:dyDescent="0.25">
      <c r="A47" s="45" t="s">
        <v>350</v>
      </c>
      <c r="B47" s="1" t="s">
        <v>260</v>
      </c>
      <c r="C47" s="24">
        <v>1</v>
      </c>
      <c r="D47" s="25" t="s">
        <v>29</v>
      </c>
      <c r="E47" s="24"/>
      <c r="F47" s="35">
        <f t="shared" si="0"/>
        <v>58</v>
      </c>
      <c r="G47" s="35">
        <f t="shared" si="1"/>
        <v>45</v>
      </c>
      <c r="H47" s="116" t="s">
        <v>708</v>
      </c>
      <c r="I47" s="89" t="s">
        <v>379</v>
      </c>
      <c r="J47" s="129" t="s">
        <v>254</v>
      </c>
      <c r="K47" s="68"/>
      <c r="L47" s="154"/>
    </row>
    <row r="48" spans="1:12" ht="14.25" customHeight="1" x14ac:dyDescent="0.25">
      <c r="A48" s="45" t="s">
        <v>351</v>
      </c>
      <c r="B48" s="1" t="s">
        <v>260</v>
      </c>
      <c r="C48" s="24">
        <v>1</v>
      </c>
      <c r="D48" s="25" t="s">
        <v>29</v>
      </c>
      <c r="E48" s="24"/>
      <c r="F48" s="35">
        <f t="shared" si="0"/>
        <v>59</v>
      </c>
      <c r="G48" s="35">
        <f t="shared" si="1"/>
        <v>46</v>
      </c>
      <c r="H48" s="116" t="s">
        <v>708</v>
      </c>
      <c r="I48" s="89" t="s">
        <v>380</v>
      </c>
      <c r="J48" s="129"/>
      <c r="K48" s="68"/>
      <c r="L48" s="154"/>
    </row>
    <row r="49" spans="1:12" ht="14.25" customHeight="1" x14ac:dyDescent="0.25">
      <c r="A49" s="45" t="s">
        <v>352</v>
      </c>
      <c r="B49" s="1" t="s">
        <v>260</v>
      </c>
      <c r="C49" s="24">
        <v>1</v>
      </c>
      <c r="D49" s="25" t="s">
        <v>29</v>
      </c>
      <c r="E49" s="24"/>
      <c r="F49" s="35">
        <f t="shared" si="0"/>
        <v>60</v>
      </c>
      <c r="G49" s="35">
        <f t="shared" si="1"/>
        <v>47</v>
      </c>
      <c r="H49" s="116" t="s">
        <v>708</v>
      </c>
      <c r="I49" s="89" t="s">
        <v>381</v>
      </c>
      <c r="J49" s="129" t="s">
        <v>254</v>
      </c>
      <c r="K49" s="68"/>
      <c r="L49" s="154"/>
    </row>
    <row r="50" spans="1:12" ht="14.25" customHeight="1" x14ac:dyDescent="0.25">
      <c r="A50" s="45" t="s">
        <v>353</v>
      </c>
      <c r="B50" s="1" t="s">
        <v>260</v>
      </c>
      <c r="C50" s="24">
        <v>1</v>
      </c>
      <c r="D50" s="25" t="s">
        <v>29</v>
      </c>
      <c r="E50" s="24"/>
      <c r="F50" s="35">
        <f t="shared" si="0"/>
        <v>61</v>
      </c>
      <c r="G50" s="35">
        <f t="shared" si="1"/>
        <v>48</v>
      </c>
      <c r="H50" s="116" t="s">
        <v>708</v>
      </c>
      <c r="I50" s="89" t="s">
        <v>382</v>
      </c>
      <c r="J50" s="129" t="s">
        <v>254</v>
      </c>
      <c r="K50" s="68"/>
      <c r="L50" s="154"/>
    </row>
    <row r="51" spans="1:12" ht="14.25" customHeight="1" x14ac:dyDescent="0.25">
      <c r="A51" s="45" t="s">
        <v>354</v>
      </c>
      <c r="B51" s="1" t="s">
        <v>260</v>
      </c>
      <c r="C51" s="24">
        <v>1</v>
      </c>
      <c r="D51" s="25" t="s">
        <v>29</v>
      </c>
      <c r="E51" s="24"/>
      <c r="F51" s="35">
        <f t="shared" si="0"/>
        <v>62</v>
      </c>
      <c r="G51" s="35">
        <f t="shared" si="1"/>
        <v>49</v>
      </c>
      <c r="H51" s="116" t="s">
        <v>708</v>
      </c>
      <c r="I51" s="89" t="s">
        <v>383</v>
      </c>
      <c r="J51" s="129"/>
      <c r="K51" s="68"/>
      <c r="L51" s="154"/>
    </row>
    <row r="52" spans="1:12" ht="14.25" customHeight="1" x14ac:dyDescent="0.25">
      <c r="A52" s="45" t="s">
        <v>355</v>
      </c>
      <c r="B52" s="1" t="s">
        <v>260</v>
      </c>
      <c r="C52" s="24">
        <v>1</v>
      </c>
      <c r="D52" s="25" t="s">
        <v>29</v>
      </c>
      <c r="E52" s="24"/>
      <c r="F52" s="35">
        <f t="shared" si="0"/>
        <v>63</v>
      </c>
      <c r="G52" s="35">
        <f t="shared" si="1"/>
        <v>50</v>
      </c>
      <c r="H52" s="116" t="s">
        <v>708</v>
      </c>
      <c r="I52" s="89" t="s">
        <v>384</v>
      </c>
      <c r="J52" s="129" t="s">
        <v>254</v>
      </c>
      <c r="K52" s="68"/>
      <c r="L52" s="154"/>
    </row>
    <row r="53" spans="1:12" ht="14.25" customHeight="1" x14ac:dyDescent="0.25">
      <c r="A53" s="45" t="s">
        <v>356</v>
      </c>
      <c r="B53" s="1" t="s">
        <v>260</v>
      </c>
      <c r="C53" s="24">
        <v>1</v>
      </c>
      <c r="D53" s="25" t="s">
        <v>29</v>
      </c>
      <c r="E53" s="24"/>
      <c r="F53" s="35">
        <f t="shared" si="0"/>
        <v>64</v>
      </c>
      <c r="G53" s="35">
        <f t="shared" si="1"/>
        <v>51</v>
      </c>
      <c r="H53" s="116" t="s">
        <v>708</v>
      </c>
      <c r="I53" s="89" t="s">
        <v>385</v>
      </c>
      <c r="J53" s="129" t="s">
        <v>254</v>
      </c>
      <c r="K53" s="68"/>
      <c r="L53" s="154"/>
    </row>
    <row r="54" spans="1:12" ht="14.25" customHeight="1" x14ac:dyDescent="0.25">
      <c r="A54" s="45" t="s">
        <v>357</v>
      </c>
      <c r="B54" s="1" t="s">
        <v>260</v>
      </c>
      <c r="C54" s="24">
        <v>1</v>
      </c>
      <c r="D54" s="25" t="s">
        <v>29</v>
      </c>
      <c r="E54" s="24"/>
      <c r="F54" s="35">
        <f t="shared" si="0"/>
        <v>65</v>
      </c>
      <c r="G54" s="35">
        <f t="shared" si="1"/>
        <v>52</v>
      </c>
      <c r="H54" s="116" t="s">
        <v>708</v>
      </c>
      <c r="I54" s="89" t="s">
        <v>386</v>
      </c>
      <c r="J54" s="129"/>
      <c r="K54" s="68"/>
      <c r="L54" s="154"/>
    </row>
    <row r="55" spans="1:12" ht="14.25" customHeight="1" x14ac:dyDescent="0.25">
      <c r="A55" s="45" t="s">
        <v>358</v>
      </c>
      <c r="B55" s="1" t="s">
        <v>260</v>
      </c>
      <c r="C55" s="24">
        <v>1</v>
      </c>
      <c r="D55" s="25" t="s">
        <v>29</v>
      </c>
      <c r="E55" s="24"/>
      <c r="F55" s="35">
        <f t="shared" si="0"/>
        <v>66</v>
      </c>
      <c r="G55" s="35">
        <f t="shared" si="1"/>
        <v>53</v>
      </c>
      <c r="H55" s="116" t="s">
        <v>708</v>
      </c>
      <c r="I55" s="89" t="s">
        <v>387</v>
      </c>
      <c r="J55" s="129" t="s">
        <v>254</v>
      </c>
      <c r="K55" s="68"/>
      <c r="L55" s="154"/>
    </row>
    <row r="56" spans="1:12" ht="14.25" customHeight="1" x14ac:dyDescent="0.25">
      <c r="A56" s="45" t="s">
        <v>359</v>
      </c>
      <c r="B56" s="1" t="s">
        <v>260</v>
      </c>
      <c r="C56" s="24">
        <v>1</v>
      </c>
      <c r="D56" s="25" t="s">
        <v>29</v>
      </c>
      <c r="E56" s="24"/>
      <c r="F56" s="35">
        <f t="shared" si="0"/>
        <v>67</v>
      </c>
      <c r="G56" s="35">
        <f t="shared" si="1"/>
        <v>54</v>
      </c>
      <c r="H56" s="116" t="s">
        <v>708</v>
      </c>
      <c r="I56" s="89" t="s">
        <v>388</v>
      </c>
      <c r="J56" s="129" t="s">
        <v>254</v>
      </c>
      <c r="K56" s="68"/>
      <c r="L56" s="154"/>
    </row>
    <row r="57" spans="1:12" ht="14.25" customHeight="1" x14ac:dyDescent="0.25">
      <c r="A57" s="45" t="s">
        <v>360</v>
      </c>
      <c r="B57" s="1" t="s">
        <v>260</v>
      </c>
      <c r="C57" s="24">
        <v>1</v>
      </c>
      <c r="D57" s="25" t="s">
        <v>29</v>
      </c>
      <c r="E57" s="24"/>
      <c r="F57" s="35">
        <f t="shared" si="0"/>
        <v>68</v>
      </c>
      <c r="G57" s="35">
        <f t="shared" si="1"/>
        <v>55</v>
      </c>
      <c r="H57" s="116" t="s">
        <v>708</v>
      </c>
      <c r="I57" s="89" t="s">
        <v>116</v>
      </c>
      <c r="J57" s="129"/>
      <c r="K57" s="68"/>
      <c r="L57" s="154"/>
    </row>
    <row r="58" spans="1:12" ht="14.25" customHeight="1" x14ac:dyDescent="0.25">
      <c r="A58" s="45" t="s">
        <v>361</v>
      </c>
      <c r="B58" s="1" t="s">
        <v>260</v>
      </c>
      <c r="C58" s="24">
        <v>1</v>
      </c>
      <c r="D58" s="25" t="s">
        <v>29</v>
      </c>
      <c r="E58" s="24"/>
      <c r="F58" s="35">
        <f t="shared" si="0"/>
        <v>69</v>
      </c>
      <c r="G58" s="35">
        <f t="shared" si="1"/>
        <v>56</v>
      </c>
      <c r="H58" s="116" t="s">
        <v>708</v>
      </c>
      <c r="I58" s="90" t="s">
        <v>389</v>
      </c>
      <c r="J58" s="129" t="s">
        <v>254</v>
      </c>
      <c r="K58" s="68"/>
      <c r="L58" s="154"/>
    </row>
    <row r="59" spans="1:12" ht="14.25" customHeight="1" x14ac:dyDescent="0.25">
      <c r="A59" s="45" t="s">
        <v>362</v>
      </c>
      <c r="B59" s="1" t="s">
        <v>260</v>
      </c>
      <c r="C59" s="24">
        <v>1</v>
      </c>
      <c r="D59" s="25" t="s">
        <v>29</v>
      </c>
      <c r="E59" s="24"/>
      <c r="F59" s="35">
        <f t="shared" si="0"/>
        <v>70</v>
      </c>
      <c r="G59" s="35">
        <f t="shared" si="1"/>
        <v>57</v>
      </c>
      <c r="H59" s="116" t="s">
        <v>708</v>
      </c>
      <c r="I59" s="90" t="s">
        <v>390</v>
      </c>
      <c r="J59" s="129" t="s">
        <v>254</v>
      </c>
      <c r="K59" s="68"/>
      <c r="L59" s="154"/>
    </row>
    <row r="60" spans="1:12" ht="14.25" customHeight="1" x14ac:dyDescent="0.25">
      <c r="A60" s="45" t="s">
        <v>363</v>
      </c>
      <c r="B60" s="1" t="s">
        <v>260</v>
      </c>
      <c r="C60" s="24">
        <v>1</v>
      </c>
      <c r="D60" s="25" t="s">
        <v>29</v>
      </c>
      <c r="E60" s="24"/>
      <c r="F60" s="35">
        <f t="shared" si="0"/>
        <v>71</v>
      </c>
      <c r="G60" s="35">
        <f t="shared" si="1"/>
        <v>58</v>
      </c>
      <c r="H60" s="116" t="s">
        <v>708</v>
      </c>
      <c r="I60" s="90" t="s">
        <v>391</v>
      </c>
      <c r="J60" s="129" t="s">
        <v>254</v>
      </c>
      <c r="K60" s="68"/>
      <c r="L60" s="154"/>
    </row>
    <row r="61" spans="1:12" ht="14.25" customHeight="1" x14ac:dyDescent="0.25">
      <c r="A61" s="45" t="s">
        <v>364</v>
      </c>
      <c r="B61" s="1" t="s">
        <v>260</v>
      </c>
      <c r="C61" s="24">
        <v>1</v>
      </c>
      <c r="D61" s="25" t="s">
        <v>29</v>
      </c>
      <c r="E61" s="24"/>
      <c r="F61" s="35">
        <f t="shared" si="0"/>
        <v>72</v>
      </c>
      <c r="G61" s="35">
        <f t="shared" si="1"/>
        <v>59</v>
      </c>
      <c r="H61" s="116" t="s">
        <v>708</v>
      </c>
      <c r="I61" s="90" t="s">
        <v>392</v>
      </c>
      <c r="J61" s="129" t="s">
        <v>254</v>
      </c>
      <c r="K61" s="68"/>
      <c r="L61" s="154"/>
    </row>
    <row r="62" spans="1:12" ht="14.25" customHeight="1" x14ac:dyDescent="0.25">
      <c r="A62" s="45" t="s">
        <v>365</v>
      </c>
      <c r="B62" s="1" t="s">
        <v>260</v>
      </c>
      <c r="C62" s="24">
        <v>1</v>
      </c>
      <c r="D62" s="25" t="s">
        <v>29</v>
      </c>
      <c r="E62" s="24"/>
      <c r="F62" s="35">
        <f t="shared" si="0"/>
        <v>73</v>
      </c>
      <c r="G62" s="35">
        <f t="shared" si="1"/>
        <v>60</v>
      </c>
      <c r="H62" s="116" t="s">
        <v>708</v>
      </c>
      <c r="I62" s="90" t="s">
        <v>393</v>
      </c>
      <c r="J62" s="129" t="s">
        <v>254</v>
      </c>
      <c r="K62" s="68"/>
      <c r="L62" s="154"/>
    </row>
    <row r="63" spans="1:12" ht="14.25" customHeight="1" x14ac:dyDescent="0.25">
      <c r="A63" s="150" t="s">
        <v>366</v>
      </c>
      <c r="B63" s="1" t="s">
        <v>396</v>
      </c>
      <c r="C63" s="24">
        <v>1</v>
      </c>
      <c r="D63" s="25" t="s">
        <v>29</v>
      </c>
      <c r="E63" s="24"/>
      <c r="F63" s="35">
        <f t="shared" si="0"/>
        <v>74</v>
      </c>
      <c r="G63" s="35">
        <f t="shared" ref="G63:G64" si="2">G62+1</f>
        <v>61</v>
      </c>
      <c r="H63" s="116" t="s">
        <v>708</v>
      </c>
      <c r="I63" s="90" t="s">
        <v>394</v>
      </c>
      <c r="J63" s="129"/>
      <c r="K63" s="68"/>
      <c r="L63" s="154"/>
    </row>
    <row r="64" spans="1:12" ht="14.25" customHeight="1" x14ac:dyDescent="0.25">
      <c r="A64" s="45" t="s">
        <v>367</v>
      </c>
      <c r="B64" s="1" t="s">
        <v>397</v>
      </c>
      <c r="C64" s="24">
        <v>1</v>
      </c>
      <c r="D64" s="25" t="s">
        <v>29</v>
      </c>
      <c r="E64" s="24"/>
      <c r="F64" s="35">
        <f t="shared" si="0"/>
        <v>75</v>
      </c>
      <c r="G64" s="35">
        <f t="shared" si="2"/>
        <v>62</v>
      </c>
      <c r="H64" s="116" t="s">
        <v>708</v>
      </c>
      <c r="I64" s="90" t="s">
        <v>395</v>
      </c>
      <c r="J64" s="129" t="s">
        <v>254</v>
      </c>
      <c r="K64" s="68"/>
      <c r="L64" s="155"/>
    </row>
    <row r="65" spans="1:12" ht="14.25" customHeight="1" x14ac:dyDescent="0.25">
      <c r="A65" s="38" t="s">
        <v>399</v>
      </c>
      <c r="B65" s="38" t="s">
        <v>260</v>
      </c>
      <c r="C65" s="39">
        <v>1</v>
      </c>
      <c r="D65" s="39" t="s">
        <v>29</v>
      </c>
      <c r="E65" s="39"/>
      <c r="F65" s="75">
        <f t="shared" si="0"/>
        <v>76</v>
      </c>
      <c r="G65" s="75">
        <f>G64+1</f>
        <v>63</v>
      </c>
      <c r="H65" s="118" t="s">
        <v>708</v>
      </c>
      <c r="I65" s="85" t="s">
        <v>7</v>
      </c>
      <c r="J65" s="133"/>
      <c r="K65" s="37"/>
      <c r="L65" s="153" t="s">
        <v>398</v>
      </c>
    </row>
    <row r="66" spans="1:12" ht="14.25" customHeight="1" x14ac:dyDescent="0.25">
      <c r="A66" s="1" t="s">
        <v>400</v>
      </c>
      <c r="B66" s="1" t="s">
        <v>260</v>
      </c>
      <c r="C66" s="24">
        <v>1</v>
      </c>
      <c r="D66" s="24" t="s">
        <v>29</v>
      </c>
      <c r="E66" s="24"/>
      <c r="F66" s="35">
        <f t="shared" si="0"/>
        <v>77</v>
      </c>
      <c r="G66" s="35">
        <f t="shared" ref="G66:G91" si="3">G65+1</f>
        <v>64</v>
      </c>
      <c r="H66" s="116" t="s">
        <v>708</v>
      </c>
      <c r="I66" s="56" t="s">
        <v>8</v>
      </c>
      <c r="J66" s="134"/>
      <c r="K66" s="23"/>
      <c r="L66" s="154"/>
    </row>
    <row r="67" spans="1:12" ht="14.25" customHeight="1" x14ac:dyDescent="0.25">
      <c r="A67" s="1" t="s">
        <v>401</v>
      </c>
      <c r="B67" s="1" t="s">
        <v>260</v>
      </c>
      <c r="C67" s="24">
        <v>1</v>
      </c>
      <c r="D67" s="24" t="s">
        <v>29</v>
      </c>
      <c r="E67" s="24"/>
      <c r="F67" s="35">
        <f t="shared" si="0"/>
        <v>78</v>
      </c>
      <c r="G67" s="35">
        <f t="shared" si="3"/>
        <v>65</v>
      </c>
      <c r="H67" s="116" t="s">
        <v>708</v>
      </c>
      <c r="I67" s="56" t="s">
        <v>9</v>
      </c>
      <c r="J67" s="134"/>
      <c r="K67" s="23"/>
      <c r="L67" s="154"/>
    </row>
    <row r="68" spans="1:12" ht="14.25" customHeight="1" x14ac:dyDescent="0.25">
      <c r="A68" s="1" t="s">
        <v>402</v>
      </c>
      <c r="B68" s="1" t="s">
        <v>260</v>
      </c>
      <c r="C68" s="24">
        <v>1</v>
      </c>
      <c r="D68" s="24" t="s">
        <v>29</v>
      </c>
      <c r="E68" s="24"/>
      <c r="F68" s="35">
        <f t="shared" ref="F68:F131" si="4">F67+C67</f>
        <v>79</v>
      </c>
      <c r="G68" s="35">
        <f t="shared" si="3"/>
        <v>66</v>
      </c>
      <c r="H68" s="116" t="s">
        <v>708</v>
      </c>
      <c r="I68" s="56" t="s">
        <v>411</v>
      </c>
      <c r="J68" s="134"/>
      <c r="K68" s="23"/>
      <c r="L68" s="154"/>
    </row>
    <row r="69" spans="1:12" ht="14.25" customHeight="1" x14ac:dyDescent="0.25">
      <c r="A69" s="1" t="s">
        <v>403</v>
      </c>
      <c r="B69" s="1" t="s">
        <v>419</v>
      </c>
      <c r="C69" s="24">
        <v>1</v>
      </c>
      <c r="D69" s="24" t="s">
        <v>29</v>
      </c>
      <c r="E69" s="24"/>
      <c r="F69" s="35">
        <f t="shared" si="4"/>
        <v>80</v>
      </c>
      <c r="G69" s="35">
        <f t="shared" si="3"/>
        <v>67</v>
      </c>
      <c r="H69" s="116" t="s">
        <v>708</v>
      </c>
      <c r="I69" s="56" t="s">
        <v>10</v>
      </c>
      <c r="J69" s="129" t="s">
        <v>254</v>
      </c>
      <c r="K69" s="23"/>
      <c r="L69" s="154"/>
    </row>
    <row r="70" spans="1:12" ht="14.25" customHeight="1" x14ac:dyDescent="0.25">
      <c r="A70" s="23" t="s">
        <v>404</v>
      </c>
      <c r="B70" s="1" t="s">
        <v>188</v>
      </c>
      <c r="C70" s="24">
        <v>1</v>
      </c>
      <c r="D70" s="25" t="s">
        <v>29</v>
      </c>
      <c r="E70" s="24"/>
      <c r="F70" s="35">
        <f t="shared" si="4"/>
        <v>81</v>
      </c>
      <c r="G70" s="35">
        <f t="shared" si="3"/>
        <v>68</v>
      </c>
      <c r="H70" s="116" t="s">
        <v>708</v>
      </c>
      <c r="I70" s="7" t="s">
        <v>412</v>
      </c>
      <c r="J70" s="129" t="s">
        <v>254</v>
      </c>
      <c r="K70" s="23"/>
      <c r="L70" s="154"/>
    </row>
    <row r="71" spans="1:12" ht="14.25" customHeight="1" x14ac:dyDescent="0.25">
      <c r="A71" s="23" t="s">
        <v>405</v>
      </c>
      <c r="B71" s="1" t="s">
        <v>188</v>
      </c>
      <c r="C71" s="24">
        <v>1</v>
      </c>
      <c r="D71" s="25" t="s">
        <v>29</v>
      </c>
      <c r="E71" s="24"/>
      <c r="F71" s="35">
        <f t="shared" si="4"/>
        <v>82</v>
      </c>
      <c r="G71" s="35">
        <f t="shared" si="3"/>
        <v>69</v>
      </c>
      <c r="H71" s="116" t="s">
        <v>708</v>
      </c>
      <c r="I71" s="91" t="s">
        <v>413</v>
      </c>
      <c r="J71" s="129" t="s">
        <v>254</v>
      </c>
      <c r="K71" s="23"/>
      <c r="L71" s="154"/>
    </row>
    <row r="72" spans="1:12" ht="14.25" customHeight="1" x14ac:dyDescent="0.25">
      <c r="A72" s="23" t="s">
        <v>406</v>
      </c>
      <c r="B72" s="1" t="s">
        <v>188</v>
      </c>
      <c r="C72" s="24">
        <v>1</v>
      </c>
      <c r="D72" s="25" t="s">
        <v>29</v>
      </c>
      <c r="E72" s="24"/>
      <c r="F72" s="35">
        <f t="shared" si="4"/>
        <v>83</v>
      </c>
      <c r="G72" s="35">
        <f t="shared" si="3"/>
        <v>70</v>
      </c>
      <c r="H72" s="116" t="s">
        <v>708</v>
      </c>
      <c r="I72" s="91" t="s">
        <v>414</v>
      </c>
      <c r="J72" s="129" t="s">
        <v>254</v>
      </c>
      <c r="K72" s="23"/>
      <c r="L72" s="154"/>
    </row>
    <row r="73" spans="1:12" ht="14.25" customHeight="1" x14ac:dyDescent="0.25">
      <c r="A73" s="23" t="s">
        <v>407</v>
      </c>
      <c r="B73" s="1" t="s">
        <v>188</v>
      </c>
      <c r="C73" s="24">
        <v>1</v>
      </c>
      <c r="D73" s="25" t="s">
        <v>29</v>
      </c>
      <c r="E73" s="24"/>
      <c r="F73" s="35">
        <f t="shared" si="4"/>
        <v>84</v>
      </c>
      <c r="G73" s="35">
        <f t="shared" si="3"/>
        <v>71</v>
      </c>
      <c r="H73" s="116" t="s">
        <v>708</v>
      </c>
      <c r="I73" s="91" t="s">
        <v>415</v>
      </c>
      <c r="J73" s="129" t="s">
        <v>254</v>
      </c>
      <c r="K73" s="23"/>
      <c r="L73" s="154"/>
    </row>
    <row r="74" spans="1:12" ht="14.25" customHeight="1" x14ac:dyDescent="0.25">
      <c r="A74" s="23" t="s">
        <v>408</v>
      </c>
      <c r="B74" s="1" t="s">
        <v>188</v>
      </c>
      <c r="C74" s="24">
        <v>1</v>
      </c>
      <c r="D74" s="25" t="s">
        <v>29</v>
      </c>
      <c r="E74" s="24"/>
      <c r="F74" s="35">
        <f t="shared" si="4"/>
        <v>85</v>
      </c>
      <c r="G74" s="35">
        <f t="shared" si="3"/>
        <v>72</v>
      </c>
      <c r="H74" s="116" t="s">
        <v>708</v>
      </c>
      <c r="I74" s="91" t="s">
        <v>416</v>
      </c>
      <c r="J74" s="129" t="s">
        <v>254</v>
      </c>
      <c r="K74" s="23"/>
      <c r="L74" s="154"/>
    </row>
    <row r="75" spans="1:12" ht="14.25" customHeight="1" x14ac:dyDescent="0.25">
      <c r="A75" s="23" t="s">
        <v>409</v>
      </c>
      <c r="B75" s="1" t="s">
        <v>188</v>
      </c>
      <c r="C75" s="24">
        <v>1</v>
      </c>
      <c r="D75" s="25" t="s">
        <v>29</v>
      </c>
      <c r="E75" s="24"/>
      <c r="F75" s="35">
        <f t="shared" si="4"/>
        <v>86</v>
      </c>
      <c r="G75" s="35">
        <f t="shared" si="3"/>
        <v>73</v>
      </c>
      <c r="H75" s="116" t="s">
        <v>708</v>
      </c>
      <c r="I75" s="91" t="s">
        <v>417</v>
      </c>
      <c r="J75" s="129" t="s">
        <v>254</v>
      </c>
      <c r="K75" s="23"/>
      <c r="L75" s="154"/>
    </row>
    <row r="76" spans="1:12" ht="14.25" customHeight="1" x14ac:dyDescent="0.25">
      <c r="A76" s="41" t="s">
        <v>410</v>
      </c>
      <c r="B76" s="42" t="s">
        <v>188</v>
      </c>
      <c r="C76" s="36">
        <v>1</v>
      </c>
      <c r="D76" s="43" t="s">
        <v>29</v>
      </c>
      <c r="E76" s="36"/>
      <c r="F76" s="77">
        <f t="shared" si="4"/>
        <v>87</v>
      </c>
      <c r="G76" s="77">
        <f>G75+1</f>
        <v>74</v>
      </c>
      <c r="H76" s="117" t="s">
        <v>708</v>
      </c>
      <c r="I76" s="92" t="s">
        <v>418</v>
      </c>
      <c r="J76" s="132" t="s">
        <v>254</v>
      </c>
      <c r="K76" s="71"/>
      <c r="L76" s="155"/>
    </row>
    <row r="77" spans="1:12" ht="14.25" customHeight="1" x14ac:dyDescent="0.25">
      <c r="A77" s="145" t="s">
        <v>423</v>
      </c>
      <c r="B77" s="1" t="s">
        <v>261</v>
      </c>
      <c r="C77" s="24">
        <v>1</v>
      </c>
      <c r="D77" s="25" t="s">
        <v>29</v>
      </c>
      <c r="E77" s="24"/>
      <c r="F77" s="35">
        <f t="shared" si="4"/>
        <v>88</v>
      </c>
      <c r="G77" s="35">
        <f>G76+1</f>
        <v>75</v>
      </c>
      <c r="H77" s="116" t="s">
        <v>708</v>
      </c>
      <c r="I77" s="7" t="s">
        <v>422</v>
      </c>
      <c r="J77" s="129"/>
      <c r="K77" s="68"/>
      <c r="L77" s="154" t="s">
        <v>421</v>
      </c>
    </row>
    <row r="78" spans="1:12" s="18" customFormat="1" ht="14.25" customHeight="1" x14ac:dyDescent="0.25">
      <c r="A78" s="148" t="s">
        <v>424</v>
      </c>
      <c r="B78" s="94" t="s">
        <v>258</v>
      </c>
      <c r="C78" s="18">
        <v>2</v>
      </c>
      <c r="D78" s="28" t="s">
        <v>66</v>
      </c>
      <c r="F78" s="35">
        <f t="shared" si="4"/>
        <v>89</v>
      </c>
      <c r="G78" s="35">
        <f t="shared" si="3"/>
        <v>76</v>
      </c>
      <c r="H78" s="116" t="s">
        <v>709</v>
      </c>
      <c r="I78" s="7" t="s">
        <v>425</v>
      </c>
      <c r="J78" s="129" t="s">
        <v>254</v>
      </c>
      <c r="K78" s="95"/>
      <c r="L78" s="154"/>
    </row>
    <row r="79" spans="1:12" s="18" customFormat="1" ht="14.25" customHeight="1" x14ac:dyDescent="0.25">
      <c r="A79" s="26" t="s">
        <v>426</v>
      </c>
      <c r="B79" s="27" t="s">
        <v>262</v>
      </c>
      <c r="C79" s="18">
        <v>1</v>
      </c>
      <c r="D79" s="28" t="s">
        <v>29</v>
      </c>
      <c r="F79" s="35">
        <f t="shared" si="4"/>
        <v>91</v>
      </c>
      <c r="G79" s="35">
        <f t="shared" si="3"/>
        <v>77</v>
      </c>
      <c r="H79" s="116" t="s">
        <v>708</v>
      </c>
      <c r="I79" s="29" t="s">
        <v>162</v>
      </c>
      <c r="J79" s="95"/>
      <c r="K79" s="95"/>
      <c r="L79" s="154"/>
    </row>
    <row r="80" spans="1:12" s="18" customFormat="1" ht="14.25" customHeight="1" x14ac:dyDescent="0.25">
      <c r="A80" s="26" t="s">
        <v>427</v>
      </c>
      <c r="B80" s="94" t="s">
        <v>258</v>
      </c>
      <c r="C80" s="18">
        <v>2</v>
      </c>
      <c r="D80" s="28" t="s">
        <v>66</v>
      </c>
      <c r="F80" s="35">
        <f t="shared" si="4"/>
        <v>92</v>
      </c>
      <c r="G80" s="35">
        <f t="shared" si="3"/>
        <v>78</v>
      </c>
      <c r="H80" s="116" t="s">
        <v>709</v>
      </c>
      <c r="I80" s="29" t="s">
        <v>201</v>
      </c>
      <c r="J80" s="129" t="s">
        <v>254</v>
      </c>
      <c r="K80" s="95"/>
      <c r="L80" s="154"/>
    </row>
    <row r="81" spans="1:12" s="18" customFormat="1" ht="14.25" customHeight="1" x14ac:dyDescent="0.25">
      <c r="A81" s="26" t="s">
        <v>428</v>
      </c>
      <c r="B81" s="27" t="s">
        <v>263</v>
      </c>
      <c r="C81" s="18">
        <v>1</v>
      </c>
      <c r="D81" s="28" t="s">
        <v>29</v>
      </c>
      <c r="F81" s="35">
        <f t="shared" si="4"/>
        <v>94</v>
      </c>
      <c r="G81" s="35">
        <f t="shared" si="3"/>
        <v>79</v>
      </c>
      <c r="H81" s="116" t="s">
        <v>708</v>
      </c>
      <c r="I81" s="29" t="s">
        <v>163</v>
      </c>
      <c r="J81" s="129" t="s">
        <v>254</v>
      </c>
      <c r="K81" s="95"/>
      <c r="L81" s="154"/>
    </row>
    <row r="82" spans="1:12" s="18" customFormat="1" ht="14.25" customHeight="1" x14ac:dyDescent="0.25">
      <c r="A82" s="26" t="s">
        <v>429</v>
      </c>
      <c r="B82" s="27" t="s">
        <v>431</v>
      </c>
      <c r="C82" s="18">
        <v>2</v>
      </c>
      <c r="D82" s="28" t="s">
        <v>29</v>
      </c>
      <c r="F82" s="35">
        <f t="shared" si="4"/>
        <v>95</v>
      </c>
      <c r="G82" s="35">
        <f t="shared" si="3"/>
        <v>80</v>
      </c>
      <c r="H82" s="116" t="s">
        <v>708</v>
      </c>
      <c r="I82" s="29" t="s">
        <v>11</v>
      </c>
      <c r="J82" s="129" t="s">
        <v>254</v>
      </c>
      <c r="K82" s="95"/>
      <c r="L82" s="154"/>
    </row>
    <row r="83" spans="1:12" s="18" customFormat="1" ht="14.25" customHeight="1" x14ac:dyDescent="0.25">
      <c r="A83" s="26" t="s">
        <v>430</v>
      </c>
      <c r="B83" s="27" t="s">
        <v>432</v>
      </c>
      <c r="C83" s="18">
        <v>1</v>
      </c>
      <c r="D83" s="28" t="s">
        <v>29</v>
      </c>
      <c r="F83" s="35">
        <f t="shared" si="4"/>
        <v>97</v>
      </c>
      <c r="G83" s="35">
        <f t="shared" si="3"/>
        <v>81</v>
      </c>
      <c r="H83" s="116" t="s">
        <v>708</v>
      </c>
      <c r="I83" s="29" t="s">
        <v>12</v>
      </c>
      <c r="J83" s="129" t="s">
        <v>254</v>
      </c>
      <c r="K83" s="95"/>
      <c r="L83" s="154"/>
    </row>
    <row r="84" spans="1:12" ht="14.25" customHeight="1" x14ac:dyDescent="0.25">
      <c r="A84" s="23" t="s">
        <v>439</v>
      </c>
      <c r="B84" s="27" t="s">
        <v>440</v>
      </c>
      <c r="C84" s="24">
        <v>1</v>
      </c>
      <c r="D84" s="25" t="s">
        <v>29</v>
      </c>
      <c r="E84" s="24"/>
      <c r="F84" s="35">
        <f t="shared" si="4"/>
        <v>98</v>
      </c>
      <c r="G84" s="35">
        <f t="shared" si="3"/>
        <v>82</v>
      </c>
      <c r="H84" s="116" t="s">
        <v>708</v>
      </c>
      <c r="I84" s="55" t="s">
        <v>13</v>
      </c>
      <c r="J84" s="129" t="s">
        <v>254</v>
      </c>
      <c r="K84" s="68"/>
      <c r="L84" s="154"/>
    </row>
    <row r="85" spans="1:12" ht="14.25" customHeight="1" x14ac:dyDescent="0.25">
      <c r="A85" s="23" t="s">
        <v>444</v>
      </c>
      <c r="B85" s="27" t="s">
        <v>260</v>
      </c>
      <c r="C85" s="24">
        <v>1</v>
      </c>
      <c r="D85" s="25" t="s">
        <v>29</v>
      </c>
      <c r="E85" s="24"/>
      <c r="F85" s="35">
        <f t="shared" si="4"/>
        <v>99</v>
      </c>
      <c r="G85" s="35">
        <f t="shared" si="3"/>
        <v>83</v>
      </c>
      <c r="H85" s="116" t="s">
        <v>708</v>
      </c>
      <c r="I85" s="55" t="s">
        <v>165</v>
      </c>
      <c r="J85" s="129"/>
      <c r="K85" s="68"/>
      <c r="L85" s="154"/>
    </row>
    <row r="86" spans="1:12" ht="14.25" customHeight="1" x14ac:dyDescent="0.25">
      <c r="A86" s="23" t="s">
        <v>445</v>
      </c>
      <c r="B86" s="1" t="s">
        <v>260</v>
      </c>
      <c r="C86" s="24">
        <v>1</v>
      </c>
      <c r="D86" s="25" t="s">
        <v>29</v>
      </c>
      <c r="E86" s="24"/>
      <c r="F86" s="35">
        <f t="shared" si="4"/>
        <v>100</v>
      </c>
      <c r="G86" s="35">
        <f t="shared" si="3"/>
        <v>84</v>
      </c>
      <c r="H86" s="116" t="s">
        <v>708</v>
      </c>
      <c r="I86" s="7" t="s">
        <v>442</v>
      </c>
      <c r="J86" s="129"/>
      <c r="K86" s="68"/>
      <c r="L86" s="154"/>
    </row>
    <row r="87" spans="1:12" ht="14.25" customHeight="1" x14ac:dyDescent="0.25">
      <c r="A87" s="23" t="s">
        <v>446</v>
      </c>
      <c r="B87" s="1" t="s">
        <v>260</v>
      </c>
      <c r="C87" s="24">
        <v>1</v>
      </c>
      <c r="D87" s="25" t="s">
        <v>29</v>
      </c>
      <c r="E87" s="24"/>
      <c r="F87" s="35">
        <f t="shared" si="4"/>
        <v>101</v>
      </c>
      <c r="G87" s="35">
        <f t="shared" si="3"/>
        <v>85</v>
      </c>
      <c r="H87" s="116" t="s">
        <v>708</v>
      </c>
      <c r="I87" s="7" t="s">
        <v>164</v>
      </c>
      <c r="J87" s="129"/>
      <c r="K87" s="68"/>
      <c r="L87" s="154"/>
    </row>
    <row r="88" spans="1:12" ht="14.25" customHeight="1" x14ac:dyDescent="0.25">
      <c r="A88" s="23" t="s">
        <v>447</v>
      </c>
      <c r="B88" s="1" t="s">
        <v>260</v>
      </c>
      <c r="C88" s="24">
        <v>1</v>
      </c>
      <c r="D88" s="25" t="s">
        <v>29</v>
      </c>
      <c r="E88" s="24"/>
      <c r="F88" s="35">
        <f t="shared" si="4"/>
        <v>102</v>
      </c>
      <c r="G88" s="35">
        <f t="shared" si="3"/>
        <v>86</v>
      </c>
      <c r="H88" s="116" t="s">
        <v>708</v>
      </c>
      <c r="I88" s="7" t="s">
        <v>443</v>
      </c>
      <c r="J88" s="129"/>
      <c r="K88" s="68"/>
      <c r="L88" s="154"/>
    </row>
    <row r="89" spans="1:12" ht="14.25" customHeight="1" x14ac:dyDescent="0.25">
      <c r="A89" s="23" t="s">
        <v>448</v>
      </c>
      <c r="B89" s="1" t="s">
        <v>260</v>
      </c>
      <c r="C89" s="24">
        <v>1</v>
      </c>
      <c r="D89" s="25" t="s">
        <v>29</v>
      </c>
      <c r="E89" s="24"/>
      <c r="F89" s="35">
        <f t="shared" si="4"/>
        <v>103</v>
      </c>
      <c r="G89" s="35">
        <f>G88+1</f>
        <v>87</v>
      </c>
      <c r="H89" s="116" t="s">
        <v>708</v>
      </c>
      <c r="I89" s="55" t="s">
        <v>14</v>
      </c>
      <c r="J89" s="129"/>
      <c r="K89" s="68"/>
      <c r="L89" s="154"/>
    </row>
    <row r="90" spans="1:12" ht="14.25" customHeight="1" x14ac:dyDescent="0.25">
      <c r="A90" s="23" t="s">
        <v>449</v>
      </c>
      <c r="B90" s="1" t="s">
        <v>260</v>
      </c>
      <c r="C90" s="24">
        <v>1</v>
      </c>
      <c r="D90" s="25" t="s">
        <v>29</v>
      </c>
      <c r="E90" s="24"/>
      <c r="F90" s="35">
        <f t="shared" si="4"/>
        <v>104</v>
      </c>
      <c r="G90" s="35">
        <f t="shared" si="3"/>
        <v>88</v>
      </c>
      <c r="H90" s="116" t="s">
        <v>708</v>
      </c>
      <c r="I90" s="55" t="s">
        <v>15</v>
      </c>
      <c r="J90" s="129"/>
      <c r="K90" s="68"/>
      <c r="L90" s="154"/>
    </row>
    <row r="91" spans="1:12" ht="14.25" customHeight="1" x14ac:dyDescent="0.25">
      <c r="A91" s="23" t="s">
        <v>450</v>
      </c>
      <c r="B91" s="1" t="s">
        <v>260</v>
      </c>
      <c r="C91" s="24">
        <v>1</v>
      </c>
      <c r="D91" s="25" t="s">
        <v>29</v>
      </c>
      <c r="E91" s="24"/>
      <c r="F91" s="35">
        <f t="shared" si="4"/>
        <v>105</v>
      </c>
      <c r="G91" s="35">
        <f t="shared" si="3"/>
        <v>89</v>
      </c>
      <c r="H91" s="116" t="s">
        <v>708</v>
      </c>
      <c r="I91" s="55" t="s">
        <v>16</v>
      </c>
      <c r="J91" s="129"/>
      <c r="K91" s="68"/>
      <c r="L91" s="154"/>
    </row>
    <row r="92" spans="1:12" ht="14.25" customHeight="1" x14ac:dyDescent="0.25">
      <c r="A92" s="23" t="s">
        <v>451</v>
      </c>
      <c r="B92" s="1" t="s">
        <v>260</v>
      </c>
      <c r="C92" s="24">
        <v>1</v>
      </c>
      <c r="D92" s="25" t="s">
        <v>29</v>
      </c>
      <c r="E92" s="24"/>
      <c r="F92" s="35">
        <f t="shared" si="4"/>
        <v>106</v>
      </c>
      <c r="G92" s="35">
        <f t="shared" ref="G92:G146" si="5">G91+1</f>
        <v>90</v>
      </c>
      <c r="H92" s="116" t="s">
        <v>708</v>
      </c>
      <c r="I92" s="55" t="s">
        <v>17</v>
      </c>
      <c r="J92" s="129"/>
      <c r="K92" s="68"/>
      <c r="L92" s="154"/>
    </row>
    <row r="93" spans="1:12" ht="14.25" customHeight="1" x14ac:dyDescent="0.25">
      <c r="A93" s="23" t="s">
        <v>452</v>
      </c>
      <c r="B93" s="1" t="s">
        <v>260</v>
      </c>
      <c r="C93" s="24">
        <v>1</v>
      </c>
      <c r="D93" s="25" t="s">
        <v>29</v>
      </c>
      <c r="E93" s="24"/>
      <c r="F93" s="35">
        <f t="shared" si="4"/>
        <v>107</v>
      </c>
      <c r="G93" s="35">
        <f t="shared" si="5"/>
        <v>91</v>
      </c>
      <c r="H93" s="116" t="s">
        <v>708</v>
      </c>
      <c r="I93" s="8" t="s">
        <v>215</v>
      </c>
      <c r="J93" s="129"/>
      <c r="K93" s="68"/>
      <c r="L93" s="154"/>
    </row>
    <row r="94" spans="1:12" ht="14.25" customHeight="1" x14ac:dyDescent="0.25">
      <c r="A94" s="23" t="s">
        <v>453</v>
      </c>
      <c r="B94" s="1" t="s">
        <v>260</v>
      </c>
      <c r="C94" s="24">
        <v>1</v>
      </c>
      <c r="D94" s="25" t="s">
        <v>29</v>
      </c>
      <c r="E94" s="24"/>
      <c r="F94" s="35">
        <f t="shared" si="4"/>
        <v>108</v>
      </c>
      <c r="G94" s="35">
        <f t="shared" si="5"/>
        <v>92</v>
      </c>
      <c r="H94" s="116" t="s">
        <v>708</v>
      </c>
      <c r="I94" s="8" t="s">
        <v>216</v>
      </c>
      <c r="J94" s="129"/>
      <c r="K94" s="68"/>
      <c r="L94" s="154"/>
    </row>
    <row r="95" spans="1:12" ht="14.25" customHeight="1" x14ac:dyDescent="0.25">
      <c r="A95" s="23" t="s">
        <v>454</v>
      </c>
      <c r="B95" s="1" t="s">
        <v>260</v>
      </c>
      <c r="C95" s="24">
        <v>1</v>
      </c>
      <c r="D95" s="25" t="s">
        <v>29</v>
      </c>
      <c r="E95" s="24"/>
      <c r="F95" s="35">
        <f t="shared" si="4"/>
        <v>109</v>
      </c>
      <c r="G95" s="35">
        <f t="shared" si="5"/>
        <v>93</v>
      </c>
      <c r="H95" s="116" t="s">
        <v>708</v>
      </c>
      <c r="I95" s="8" t="s">
        <v>217</v>
      </c>
      <c r="J95" s="129"/>
      <c r="K95" s="68"/>
      <c r="L95" s="154"/>
    </row>
    <row r="96" spans="1:12" ht="14.25" customHeight="1" x14ac:dyDescent="0.25">
      <c r="A96" s="23" t="s">
        <v>455</v>
      </c>
      <c r="B96" s="1" t="s">
        <v>260</v>
      </c>
      <c r="C96" s="24">
        <v>1</v>
      </c>
      <c r="D96" s="25" t="s">
        <v>29</v>
      </c>
      <c r="E96" s="24"/>
      <c r="F96" s="35">
        <f t="shared" si="4"/>
        <v>110</v>
      </c>
      <c r="G96" s="35">
        <f t="shared" si="5"/>
        <v>94</v>
      </c>
      <c r="H96" s="116" t="s">
        <v>708</v>
      </c>
      <c r="I96" s="6" t="s">
        <v>218</v>
      </c>
      <c r="J96" s="129"/>
      <c r="K96" s="68"/>
      <c r="L96" s="154"/>
    </row>
    <row r="97" spans="1:12" ht="14.25" customHeight="1" x14ac:dyDescent="0.25">
      <c r="A97" s="23" t="s">
        <v>456</v>
      </c>
      <c r="B97" s="1" t="s">
        <v>468</v>
      </c>
      <c r="C97" s="24">
        <v>1</v>
      </c>
      <c r="D97" s="25" t="s">
        <v>29</v>
      </c>
      <c r="E97" s="24"/>
      <c r="F97" s="35">
        <f t="shared" si="4"/>
        <v>111</v>
      </c>
      <c r="G97" s="35">
        <f>G96+1</f>
        <v>95</v>
      </c>
      <c r="H97" s="116" t="s">
        <v>708</v>
      </c>
      <c r="I97" s="55" t="s">
        <v>158</v>
      </c>
      <c r="J97" s="129"/>
      <c r="K97" s="68"/>
      <c r="L97" s="154"/>
    </row>
    <row r="98" spans="1:12" ht="14.25" customHeight="1" x14ac:dyDescent="0.25">
      <c r="A98" s="23" t="s">
        <v>457</v>
      </c>
      <c r="B98" s="94" t="s">
        <v>258</v>
      </c>
      <c r="C98" s="18">
        <v>2</v>
      </c>
      <c r="D98" s="28" t="s">
        <v>66</v>
      </c>
      <c r="E98" s="18"/>
      <c r="F98" s="35">
        <f t="shared" si="4"/>
        <v>112</v>
      </c>
      <c r="G98" s="35">
        <f t="shared" si="5"/>
        <v>96</v>
      </c>
      <c r="H98" s="116" t="s">
        <v>709</v>
      </c>
      <c r="I98" s="96" t="s">
        <v>219</v>
      </c>
      <c r="J98" s="129" t="s">
        <v>254</v>
      </c>
      <c r="K98" s="68"/>
      <c r="L98" s="154"/>
    </row>
    <row r="99" spans="1:12" ht="14.25" customHeight="1" x14ac:dyDescent="0.25">
      <c r="A99" s="23" t="s">
        <v>458</v>
      </c>
      <c r="B99" s="1" t="s">
        <v>260</v>
      </c>
      <c r="C99" s="24">
        <v>1</v>
      </c>
      <c r="D99" s="25" t="s">
        <v>29</v>
      </c>
      <c r="E99" s="24"/>
      <c r="F99" s="35">
        <f t="shared" si="4"/>
        <v>114</v>
      </c>
      <c r="G99" s="35">
        <f t="shared" si="5"/>
        <v>97</v>
      </c>
      <c r="H99" s="116" t="s">
        <v>708</v>
      </c>
      <c r="I99" s="55" t="s">
        <v>18</v>
      </c>
      <c r="J99" s="129" t="s">
        <v>254</v>
      </c>
      <c r="K99" s="68"/>
      <c r="L99" s="154"/>
    </row>
    <row r="100" spans="1:12" ht="14.25" customHeight="1" x14ac:dyDescent="0.25">
      <c r="A100" s="23" t="s">
        <v>459</v>
      </c>
      <c r="B100" s="1" t="s">
        <v>260</v>
      </c>
      <c r="C100" s="24">
        <v>1</v>
      </c>
      <c r="D100" s="25" t="s">
        <v>29</v>
      </c>
      <c r="E100" s="24"/>
      <c r="F100" s="35">
        <f t="shared" si="4"/>
        <v>115</v>
      </c>
      <c r="G100" s="35">
        <f t="shared" si="5"/>
        <v>98</v>
      </c>
      <c r="H100" s="116" t="s">
        <v>708</v>
      </c>
      <c r="I100" s="55" t="s">
        <v>19</v>
      </c>
      <c r="J100" s="129" t="s">
        <v>254</v>
      </c>
      <c r="K100" s="68"/>
      <c r="L100" s="154"/>
    </row>
    <row r="101" spans="1:12" ht="14.25" customHeight="1" x14ac:dyDescent="0.25">
      <c r="A101" s="23" t="s">
        <v>460</v>
      </c>
      <c r="B101" s="1" t="s">
        <v>260</v>
      </c>
      <c r="C101" s="24">
        <v>1</v>
      </c>
      <c r="D101" s="25" t="s">
        <v>29</v>
      </c>
      <c r="E101" s="24"/>
      <c r="F101" s="35">
        <f t="shared" si="4"/>
        <v>116</v>
      </c>
      <c r="G101" s="35">
        <f t="shared" si="5"/>
        <v>99</v>
      </c>
      <c r="H101" s="116" t="s">
        <v>708</v>
      </c>
      <c r="I101" s="55" t="s">
        <v>54</v>
      </c>
      <c r="J101" s="129" t="s">
        <v>254</v>
      </c>
      <c r="K101" s="68"/>
      <c r="L101" s="154"/>
    </row>
    <row r="102" spans="1:12" ht="14.25" customHeight="1" x14ac:dyDescent="0.25">
      <c r="A102" s="23" t="s">
        <v>461</v>
      </c>
      <c r="B102" s="1" t="s">
        <v>260</v>
      </c>
      <c r="C102" s="24">
        <v>1</v>
      </c>
      <c r="D102" s="25" t="s">
        <v>29</v>
      </c>
      <c r="E102" s="24"/>
      <c r="F102" s="35">
        <f t="shared" si="4"/>
        <v>117</v>
      </c>
      <c r="G102" s="35">
        <f t="shared" si="5"/>
        <v>100</v>
      </c>
      <c r="H102" s="116" t="s">
        <v>708</v>
      </c>
      <c r="I102" s="55" t="s">
        <v>135</v>
      </c>
      <c r="J102" s="129" t="s">
        <v>254</v>
      </c>
      <c r="K102" s="68"/>
      <c r="L102" s="154"/>
    </row>
    <row r="103" spans="1:12" ht="14.25" customHeight="1" x14ac:dyDescent="0.25">
      <c r="A103" s="23" t="s">
        <v>462</v>
      </c>
      <c r="B103" s="1" t="s">
        <v>260</v>
      </c>
      <c r="C103" s="24">
        <v>1</v>
      </c>
      <c r="D103" s="25" t="s">
        <v>29</v>
      </c>
      <c r="E103" s="24"/>
      <c r="F103" s="35">
        <f t="shared" si="4"/>
        <v>118</v>
      </c>
      <c r="G103" s="35">
        <f t="shared" si="5"/>
        <v>101</v>
      </c>
      <c r="H103" s="116" t="s">
        <v>708</v>
      </c>
      <c r="I103" s="55" t="s">
        <v>136</v>
      </c>
      <c r="J103" s="129" t="s">
        <v>254</v>
      </c>
      <c r="K103" s="68"/>
      <c r="L103" s="154"/>
    </row>
    <row r="104" spans="1:12" ht="14.25" customHeight="1" x14ac:dyDescent="0.25">
      <c r="A104" s="23" t="s">
        <v>463</v>
      </c>
      <c r="B104" s="1" t="s">
        <v>260</v>
      </c>
      <c r="C104" s="24">
        <v>1</v>
      </c>
      <c r="D104" s="25" t="s">
        <v>29</v>
      </c>
      <c r="E104" s="24"/>
      <c r="F104" s="35">
        <f t="shared" si="4"/>
        <v>119</v>
      </c>
      <c r="G104" s="35">
        <f t="shared" si="5"/>
        <v>102</v>
      </c>
      <c r="H104" s="116" t="s">
        <v>708</v>
      </c>
      <c r="I104" s="55" t="s">
        <v>137</v>
      </c>
      <c r="J104" s="129" t="s">
        <v>254</v>
      </c>
      <c r="K104" s="68"/>
      <c r="L104" s="154"/>
    </row>
    <row r="105" spans="1:12" ht="14.25" customHeight="1" x14ac:dyDescent="0.25">
      <c r="A105" s="23" t="s">
        <v>464</v>
      </c>
      <c r="B105" s="1" t="s">
        <v>260</v>
      </c>
      <c r="C105" s="24">
        <v>1</v>
      </c>
      <c r="D105" s="25" t="s">
        <v>29</v>
      </c>
      <c r="E105" s="24"/>
      <c r="F105" s="35">
        <f t="shared" si="4"/>
        <v>120</v>
      </c>
      <c r="G105" s="35">
        <f t="shared" si="5"/>
        <v>103</v>
      </c>
      <c r="H105" s="116" t="s">
        <v>708</v>
      </c>
      <c r="I105" s="55" t="s">
        <v>138</v>
      </c>
      <c r="J105" s="129" t="s">
        <v>254</v>
      </c>
      <c r="K105" s="68"/>
      <c r="L105" s="154"/>
    </row>
    <row r="106" spans="1:12" ht="14.25" customHeight="1" x14ac:dyDescent="0.25">
      <c r="A106" s="23" t="s">
        <v>465</v>
      </c>
      <c r="B106" s="1" t="s">
        <v>260</v>
      </c>
      <c r="C106" s="24">
        <v>1</v>
      </c>
      <c r="D106" s="25" t="s">
        <v>29</v>
      </c>
      <c r="E106" s="24"/>
      <c r="F106" s="35">
        <f t="shared" si="4"/>
        <v>121</v>
      </c>
      <c r="G106" s="35">
        <f>G105+1</f>
        <v>104</v>
      </c>
      <c r="H106" s="116" t="s">
        <v>708</v>
      </c>
      <c r="I106" s="55" t="s">
        <v>139</v>
      </c>
      <c r="J106" s="129" t="s">
        <v>254</v>
      </c>
      <c r="K106" s="68"/>
      <c r="L106" s="154"/>
    </row>
    <row r="107" spans="1:12" ht="14.25" customHeight="1" x14ac:dyDescent="0.25">
      <c r="A107" s="23" t="s">
        <v>466</v>
      </c>
      <c r="B107" s="1" t="s">
        <v>260</v>
      </c>
      <c r="C107" s="24">
        <v>1</v>
      </c>
      <c r="D107" s="25" t="s">
        <v>29</v>
      </c>
      <c r="E107" s="24"/>
      <c r="F107" s="35">
        <f t="shared" si="4"/>
        <v>122</v>
      </c>
      <c r="G107" s="35">
        <f>G106+1</f>
        <v>105</v>
      </c>
      <c r="H107" s="116" t="s">
        <v>708</v>
      </c>
      <c r="I107" s="55" t="s">
        <v>140</v>
      </c>
      <c r="J107" s="129" t="s">
        <v>254</v>
      </c>
      <c r="K107" s="68"/>
      <c r="L107" s="154"/>
    </row>
    <row r="108" spans="1:12" ht="14.25" customHeight="1" x14ac:dyDescent="0.25">
      <c r="A108" s="23" t="s">
        <v>467</v>
      </c>
      <c r="B108" s="1" t="s">
        <v>472</v>
      </c>
      <c r="C108" s="24">
        <v>1</v>
      </c>
      <c r="D108" s="25" t="s">
        <v>29</v>
      </c>
      <c r="E108" s="24"/>
      <c r="F108" s="35">
        <f t="shared" si="4"/>
        <v>123</v>
      </c>
      <c r="G108" s="35">
        <f t="shared" si="5"/>
        <v>106</v>
      </c>
      <c r="H108" s="116" t="s">
        <v>708</v>
      </c>
      <c r="I108" s="55" t="s">
        <v>141</v>
      </c>
      <c r="J108" s="129" t="s">
        <v>254</v>
      </c>
      <c r="K108" s="68"/>
      <c r="L108" s="154"/>
    </row>
    <row r="109" spans="1:12" ht="14.25" customHeight="1" x14ac:dyDescent="0.25">
      <c r="A109" s="23" t="s">
        <v>473</v>
      </c>
      <c r="B109" s="1" t="s">
        <v>260</v>
      </c>
      <c r="C109" s="24">
        <v>1</v>
      </c>
      <c r="D109" s="25" t="s">
        <v>29</v>
      </c>
      <c r="E109" s="24"/>
      <c r="F109" s="35">
        <f t="shared" si="4"/>
        <v>124</v>
      </c>
      <c r="G109" s="35">
        <f t="shared" si="5"/>
        <v>107</v>
      </c>
      <c r="H109" s="116" t="s">
        <v>708</v>
      </c>
      <c r="I109" s="7" t="s">
        <v>479</v>
      </c>
      <c r="J109" s="129" t="s">
        <v>254</v>
      </c>
      <c r="K109" s="68"/>
      <c r="L109" s="154"/>
    </row>
    <row r="110" spans="1:12" ht="14.25" customHeight="1" x14ac:dyDescent="0.25">
      <c r="A110" s="23" t="s">
        <v>474</v>
      </c>
      <c r="B110" s="1" t="s">
        <v>260</v>
      </c>
      <c r="C110" s="24">
        <v>1</v>
      </c>
      <c r="D110" s="25" t="s">
        <v>29</v>
      </c>
      <c r="E110" s="24"/>
      <c r="F110" s="35">
        <f t="shared" si="4"/>
        <v>125</v>
      </c>
      <c r="G110" s="35">
        <f t="shared" si="5"/>
        <v>108</v>
      </c>
      <c r="H110" s="116" t="s">
        <v>708</v>
      </c>
      <c r="I110" s="7" t="s">
        <v>142</v>
      </c>
      <c r="J110" s="129" t="s">
        <v>254</v>
      </c>
      <c r="K110" s="68"/>
      <c r="L110" s="154"/>
    </row>
    <row r="111" spans="1:12" ht="14.25" customHeight="1" x14ac:dyDescent="0.25">
      <c r="A111" s="23" t="s">
        <v>475</v>
      </c>
      <c r="B111" s="1" t="s">
        <v>260</v>
      </c>
      <c r="C111" s="24">
        <v>1</v>
      </c>
      <c r="D111" s="25" t="s">
        <v>29</v>
      </c>
      <c r="E111" s="24"/>
      <c r="F111" s="35">
        <f t="shared" si="4"/>
        <v>126</v>
      </c>
      <c r="G111" s="35">
        <f t="shared" si="5"/>
        <v>109</v>
      </c>
      <c r="H111" s="116" t="s">
        <v>708</v>
      </c>
      <c r="I111" s="7" t="s">
        <v>143</v>
      </c>
      <c r="J111" s="129" t="s">
        <v>254</v>
      </c>
      <c r="K111" s="68"/>
      <c r="L111" s="154"/>
    </row>
    <row r="112" spans="1:12" ht="14.25" customHeight="1" x14ac:dyDescent="0.25">
      <c r="A112" s="23" t="s">
        <v>476</v>
      </c>
      <c r="B112" s="1" t="s">
        <v>260</v>
      </c>
      <c r="C112" s="24">
        <v>1</v>
      </c>
      <c r="D112" s="25" t="s">
        <v>29</v>
      </c>
      <c r="E112" s="24"/>
      <c r="F112" s="35">
        <f t="shared" si="4"/>
        <v>127</v>
      </c>
      <c r="G112" s="35">
        <f t="shared" si="5"/>
        <v>110</v>
      </c>
      <c r="H112" s="116" t="s">
        <v>708</v>
      </c>
      <c r="I112" s="7" t="s">
        <v>480</v>
      </c>
      <c r="J112" s="129" t="s">
        <v>254</v>
      </c>
      <c r="K112" s="68"/>
      <c r="L112" s="154"/>
    </row>
    <row r="113" spans="1:12" ht="14.25" customHeight="1" x14ac:dyDescent="0.25">
      <c r="A113" s="23" t="s">
        <v>477</v>
      </c>
      <c r="B113" s="1" t="s">
        <v>260</v>
      </c>
      <c r="C113" s="24">
        <v>1</v>
      </c>
      <c r="D113" s="25" t="s">
        <v>29</v>
      </c>
      <c r="E113" s="24"/>
      <c r="F113" s="35">
        <f t="shared" si="4"/>
        <v>128</v>
      </c>
      <c r="G113" s="35">
        <f t="shared" si="5"/>
        <v>111</v>
      </c>
      <c r="H113" s="116" t="s">
        <v>708</v>
      </c>
      <c r="I113" s="7" t="s">
        <v>27</v>
      </c>
      <c r="J113" s="129" t="s">
        <v>254</v>
      </c>
      <c r="K113" s="68"/>
      <c r="L113" s="154"/>
    </row>
    <row r="114" spans="1:12" ht="14.25" customHeight="1" x14ac:dyDescent="0.25">
      <c r="A114" s="23" t="s">
        <v>478</v>
      </c>
      <c r="B114" s="1" t="s">
        <v>260</v>
      </c>
      <c r="C114" s="24">
        <v>1</v>
      </c>
      <c r="D114" s="25" t="s">
        <v>29</v>
      </c>
      <c r="E114" s="24"/>
      <c r="F114" s="77">
        <f t="shared" si="4"/>
        <v>129</v>
      </c>
      <c r="G114" s="77">
        <f t="shared" si="5"/>
        <v>112</v>
      </c>
      <c r="H114" s="119" t="s">
        <v>708</v>
      </c>
      <c r="I114" s="7" t="s">
        <v>481</v>
      </c>
      <c r="J114" s="129" t="s">
        <v>254</v>
      </c>
      <c r="K114" s="68"/>
      <c r="L114" s="155"/>
    </row>
    <row r="115" spans="1:12" ht="14.25" customHeight="1" x14ac:dyDescent="0.25">
      <c r="A115" s="37" t="s">
        <v>483</v>
      </c>
      <c r="B115" s="38" t="s">
        <v>188</v>
      </c>
      <c r="C115" s="97">
        <v>1</v>
      </c>
      <c r="D115" s="98" t="s">
        <v>29</v>
      </c>
      <c r="E115" s="39"/>
      <c r="F115" s="35">
        <f t="shared" si="4"/>
        <v>130</v>
      </c>
      <c r="G115" s="35">
        <f>G114+1</f>
        <v>113</v>
      </c>
      <c r="H115" s="116" t="s">
        <v>708</v>
      </c>
      <c r="I115" s="99" t="s">
        <v>482</v>
      </c>
      <c r="J115" s="131"/>
      <c r="K115" s="72"/>
      <c r="L115" s="153" t="s">
        <v>516</v>
      </c>
    </row>
    <row r="116" spans="1:12" s="4" customFormat="1" ht="14.25" customHeight="1" x14ac:dyDescent="0.25">
      <c r="A116" s="26" t="s">
        <v>486</v>
      </c>
      <c r="B116" s="82" t="s">
        <v>258</v>
      </c>
      <c r="C116" s="18">
        <v>2</v>
      </c>
      <c r="D116" s="28" t="s">
        <v>66</v>
      </c>
      <c r="E116" s="18"/>
      <c r="F116" s="35">
        <f t="shared" si="4"/>
        <v>131</v>
      </c>
      <c r="G116" s="35">
        <f t="shared" si="5"/>
        <v>114</v>
      </c>
      <c r="H116" s="116" t="s">
        <v>709</v>
      </c>
      <c r="I116" s="29" t="s">
        <v>484</v>
      </c>
      <c r="J116" s="129" t="s">
        <v>254</v>
      </c>
      <c r="K116" s="69"/>
      <c r="L116" s="154"/>
    </row>
    <row r="117" spans="1:12" s="4" customFormat="1" ht="14.25" customHeight="1" x14ac:dyDescent="0.25">
      <c r="A117" s="26" t="s">
        <v>487</v>
      </c>
      <c r="B117" s="82" t="s">
        <v>208</v>
      </c>
      <c r="C117" s="18">
        <v>3</v>
      </c>
      <c r="D117" s="28" t="s">
        <v>66</v>
      </c>
      <c r="E117" s="18"/>
      <c r="F117" s="35">
        <f t="shared" si="4"/>
        <v>133</v>
      </c>
      <c r="G117" s="35">
        <f t="shared" si="5"/>
        <v>115</v>
      </c>
      <c r="H117" s="116" t="s">
        <v>709</v>
      </c>
      <c r="I117" s="29" t="s">
        <v>485</v>
      </c>
      <c r="J117" s="129" t="s">
        <v>254</v>
      </c>
      <c r="K117" s="69"/>
      <c r="L117" s="154"/>
    </row>
    <row r="118" spans="1:12" s="4" customFormat="1" ht="14.25" customHeight="1" x14ac:dyDescent="0.25">
      <c r="A118" s="32" t="s">
        <v>489</v>
      </c>
      <c r="B118" s="4" t="s">
        <v>490</v>
      </c>
      <c r="C118" s="18">
        <v>1</v>
      </c>
      <c r="D118" s="28" t="s">
        <v>29</v>
      </c>
      <c r="E118" s="18"/>
      <c r="F118" s="35">
        <f t="shared" si="4"/>
        <v>136</v>
      </c>
      <c r="G118" s="35">
        <f>G117+1</f>
        <v>116</v>
      </c>
      <c r="H118" s="116" t="s">
        <v>708</v>
      </c>
      <c r="I118" s="29" t="s">
        <v>488</v>
      </c>
      <c r="J118" s="129" t="s">
        <v>254</v>
      </c>
      <c r="K118" s="69"/>
      <c r="L118" s="154"/>
    </row>
    <row r="119" spans="1:12" s="4" customFormat="1" ht="14.25" customHeight="1" x14ac:dyDescent="0.25">
      <c r="A119" s="32" t="s">
        <v>491</v>
      </c>
      <c r="B119" s="4" t="s">
        <v>492</v>
      </c>
      <c r="C119" s="18">
        <v>1</v>
      </c>
      <c r="D119" s="28" t="s">
        <v>29</v>
      </c>
      <c r="E119" s="18"/>
      <c r="F119" s="35">
        <f t="shared" si="4"/>
        <v>137</v>
      </c>
      <c r="G119" s="35">
        <f t="shared" si="5"/>
        <v>117</v>
      </c>
      <c r="H119" s="116" t="s">
        <v>708</v>
      </c>
      <c r="I119" s="29" t="s">
        <v>57</v>
      </c>
      <c r="J119" s="129" t="s">
        <v>254</v>
      </c>
      <c r="K119" s="69"/>
      <c r="L119" s="154"/>
    </row>
    <row r="120" spans="1:12" s="4" customFormat="1" ht="14.25" customHeight="1" x14ac:dyDescent="0.25">
      <c r="A120" s="32" t="s">
        <v>493</v>
      </c>
      <c r="B120" s="4" t="s">
        <v>260</v>
      </c>
      <c r="C120" s="18">
        <v>1</v>
      </c>
      <c r="D120" s="28" t="s">
        <v>29</v>
      </c>
      <c r="E120" s="18"/>
      <c r="F120" s="35">
        <f t="shared" si="4"/>
        <v>138</v>
      </c>
      <c r="G120" s="35">
        <f t="shared" si="5"/>
        <v>118</v>
      </c>
      <c r="H120" s="116" t="s">
        <v>708</v>
      </c>
      <c r="I120" s="29" t="s">
        <v>65</v>
      </c>
      <c r="J120" s="129"/>
      <c r="K120" s="69"/>
      <c r="L120" s="154"/>
    </row>
    <row r="121" spans="1:12" s="4" customFormat="1" ht="14.25" customHeight="1" x14ac:dyDescent="0.25">
      <c r="A121" s="32" t="s">
        <v>494</v>
      </c>
      <c r="B121" s="82" t="s">
        <v>208</v>
      </c>
      <c r="C121" s="18">
        <v>3</v>
      </c>
      <c r="D121" s="28" t="s">
        <v>66</v>
      </c>
      <c r="E121" s="18"/>
      <c r="F121" s="35">
        <f t="shared" si="4"/>
        <v>139</v>
      </c>
      <c r="G121" s="35">
        <f t="shared" si="5"/>
        <v>119</v>
      </c>
      <c r="H121" s="116" t="s">
        <v>709</v>
      </c>
      <c r="I121" s="29" t="s">
        <v>202</v>
      </c>
      <c r="J121" s="129" t="s">
        <v>254</v>
      </c>
      <c r="K121" s="69"/>
      <c r="L121" s="154"/>
    </row>
    <row r="122" spans="1:12" s="4" customFormat="1" ht="14.25" customHeight="1" x14ac:dyDescent="0.25">
      <c r="A122" s="32" t="s">
        <v>495</v>
      </c>
      <c r="B122" s="1" t="s">
        <v>188</v>
      </c>
      <c r="C122" s="18">
        <v>1</v>
      </c>
      <c r="D122" s="28" t="s">
        <v>29</v>
      </c>
      <c r="E122" s="18"/>
      <c r="F122" s="35">
        <f t="shared" si="4"/>
        <v>142</v>
      </c>
      <c r="G122" s="35">
        <f t="shared" si="5"/>
        <v>120</v>
      </c>
      <c r="H122" s="116" t="s">
        <v>708</v>
      </c>
      <c r="I122" s="29" t="s">
        <v>58</v>
      </c>
      <c r="J122" s="129"/>
      <c r="K122" s="69"/>
      <c r="L122" s="154"/>
    </row>
    <row r="123" spans="1:12" s="4" customFormat="1" ht="14.25" customHeight="1" x14ac:dyDescent="0.25">
      <c r="A123" s="32" t="s">
        <v>496</v>
      </c>
      <c r="B123" s="82" t="s">
        <v>208</v>
      </c>
      <c r="C123" s="18">
        <v>3</v>
      </c>
      <c r="D123" s="28" t="s">
        <v>66</v>
      </c>
      <c r="E123" s="18"/>
      <c r="F123" s="35">
        <f t="shared" si="4"/>
        <v>143</v>
      </c>
      <c r="G123" s="35">
        <f t="shared" si="5"/>
        <v>121</v>
      </c>
      <c r="H123" s="116" t="s">
        <v>709</v>
      </c>
      <c r="I123" s="29" t="s">
        <v>203</v>
      </c>
      <c r="J123" s="129" t="s">
        <v>254</v>
      </c>
      <c r="K123" s="69"/>
      <c r="L123" s="154"/>
    </row>
    <row r="124" spans="1:12" s="4" customFormat="1" ht="14.25" customHeight="1" x14ac:dyDescent="0.25">
      <c r="A124" s="32" t="s">
        <v>497</v>
      </c>
      <c r="B124" s="4" t="s">
        <v>260</v>
      </c>
      <c r="C124" s="18">
        <v>1</v>
      </c>
      <c r="D124" s="28" t="s">
        <v>29</v>
      </c>
      <c r="E124" s="18"/>
      <c r="F124" s="35">
        <f t="shared" si="4"/>
        <v>146</v>
      </c>
      <c r="G124" s="35">
        <f t="shared" si="5"/>
        <v>122</v>
      </c>
      <c r="H124" s="116" t="s">
        <v>708</v>
      </c>
      <c r="I124" s="29" t="s">
        <v>59</v>
      </c>
      <c r="J124" s="129" t="s">
        <v>254</v>
      </c>
      <c r="K124" s="69"/>
      <c r="L124" s="154"/>
    </row>
    <row r="125" spans="1:12" s="4" customFormat="1" ht="14.25" customHeight="1" x14ac:dyDescent="0.25">
      <c r="A125" s="32" t="s">
        <v>498</v>
      </c>
      <c r="B125" s="4" t="s">
        <v>260</v>
      </c>
      <c r="C125" s="18">
        <v>1</v>
      </c>
      <c r="D125" s="28" t="s">
        <v>29</v>
      </c>
      <c r="E125" s="18"/>
      <c r="F125" s="35">
        <f t="shared" si="4"/>
        <v>147</v>
      </c>
      <c r="G125" s="35">
        <f t="shared" si="5"/>
        <v>123</v>
      </c>
      <c r="H125" s="116" t="s">
        <v>708</v>
      </c>
      <c r="I125" s="29" t="s">
        <v>60</v>
      </c>
      <c r="J125" s="129" t="s">
        <v>254</v>
      </c>
      <c r="K125" s="69"/>
      <c r="L125" s="154"/>
    </row>
    <row r="126" spans="1:12" s="4" customFormat="1" ht="14.25" customHeight="1" x14ac:dyDescent="0.25">
      <c r="A126" s="32" t="s">
        <v>499</v>
      </c>
      <c r="B126" s="4" t="s">
        <v>260</v>
      </c>
      <c r="C126" s="18">
        <v>1</v>
      </c>
      <c r="D126" s="28" t="s">
        <v>29</v>
      </c>
      <c r="E126" s="18"/>
      <c r="F126" s="35">
        <f t="shared" si="4"/>
        <v>148</v>
      </c>
      <c r="G126" s="35">
        <f t="shared" si="5"/>
        <v>124</v>
      </c>
      <c r="H126" s="116" t="s">
        <v>708</v>
      </c>
      <c r="I126" s="29" t="s">
        <v>61</v>
      </c>
      <c r="J126" s="129" t="s">
        <v>254</v>
      </c>
      <c r="K126" s="69"/>
      <c r="L126" s="154"/>
    </row>
    <row r="127" spans="1:12" s="4" customFormat="1" ht="14.25" customHeight="1" x14ac:dyDescent="0.25">
      <c r="A127" s="26" t="s">
        <v>500</v>
      </c>
      <c r="B127" s="82" t="s">
        <v>258</v>
      </c>
      <c r="C127" s="18">
        <v>2</v>
      </c>
      <c r="D127" s="28" t="s">
        <v>66</v>
      </c>
      <c r="E127" s="18"/>
      <c r="F127" s="35">
        <f t="shared" si="4"/>
        <v>149</v>
      </c>
      <c r="G127" s="35">
        <f t="shared" si="5"/>
        <v>125</v>
      </c>
      <c r="H127" s="116" t="s">
        <v>709</v>
      </c>
      <c r="I127" s="29" t="s">
        <v>204</v>
      </c>
      <c r="J127" s="129" t="s">
        <v>254</v>
      </c>
      <c r="K127" s="69"/>
      <c r="L127" s="154"/>
    </row>
    <row r="128" spans="1:12" s="4" customFormat="1" ht="14.25" customHeight="1" x14ac:dyDescent="0.25">
      <c r="A128" s="26" t="s">
        <v>501</v>
      </c>
      <c r="B128" s="82" t="s">
        <v>258</v>
      </c>
      <c r="C128" s="18">
        <v>2</v>
      </c>
      <c r="D128" s="28" t="s">
        <v>66</v>
      </c>
      <c r="E128" s="18"/>
      <c r="F128" s="35">
        <f t="shared" si="4"/>
        <v>151</v>
      </c>
      <c r="G128" s="35">
        <f t="shared" si="5"/>
        <v>126</v>
      </c>
      <c r="H128" s="116" t="s">
        <v>709</v>
      </c>
      <c r="I128" s="29" t="s">
        <v>205</v>
      </c>
      <c r="J128" s="129" t="s">
        <v>254</v>
      </c>
      <c r="K128" s="69"/>
      <c r="L128" s="154"/>
    </row>
    <row r="129" spans="1:12" s="4" customFormat="1" ht="14.25" customHeight="1" x14ac:dyDescent="0.25">
      <c r="A129" s="26" t="s">
        <v>502</v>
      </c>
      <c r="B129" s="82" t="s">
        <v>258</v>
      </c>
      <c r="C129" s="18">
        <v>2</v>
      </c>
      <c r="D129" s="28" t="s">
        <v>66</v>
      </c>
      <c r="E129" s="18"/>
      <c r="F129" s="35">
        <f t="shared" si="4"/>
        <v>153</v>
      </c>
      <c r="G129" s="35">
        <f t="shared" si="5"/>
        <v>127</v>
      </c>
      <c r="H129" s="116" t="s">
        <v>709</v>
      </c>
      <c r="I129" s="29" t="s">
        <v>206</v>
      </c>
      <c r="J129" s="129" t="s">
        <v>254</v>
      </c>
      <c r="K129" s="69"/>
      <c r="L129" s="154"/>
    </row>
    <row r="130" spans="1:12" s="4" customFormat="1" ht="14.25" customHeight="1" x14ac:dyDescent="0.25">
      <c r="A130" s="26" t="s">
        <v>503</v>
      </c>
      <c r="B130" s="82" t="s">
        <v>258</v>
      </c>
      <c r="C130" s="18">
        <v>2</v>
      </c>
      <c r="D130" s="28" t="s">
        <v>66</v>
      </c>
      <c r="E130" s="18"/>
      <c r="F130" s="35">
        <f t="shared" si="4"/>
        <v>155</v>
      </c>
      <c r="G130" s="35">
        <f t="shared" si="5"/>
        <v>128</v>
      </c>
      <c r="H130" s="116" t="s">
        <v>709</v>
      </c>
      <c r="I130" s="29" t="s">
        <v>211</v>
      </c>
      <c r="J130" s="129" t="s">
        <v>254</v>
      </c>
      <c r="K130" s="69"/>
      <c r="L130" s="154"/>
    </row>
    <row r="131" spans="1:12" s="4" customFormat="1" ht="14.25" customHeight="1" x14ac:dyDescent="0.25">
      <c r="A131" s="26" t="s">
        <v>504</v>
      </c>
      <c r="B131" s="82" t="s">
        <v>258</v>
      </c>
      <c r="C131" s="18">
        <v>2</v>
      </c>
      <c r="D131" s="28" t="s">
        <v>66</v>
      </c>
      <c r="E131" s="18"/>
      <c r="F131" s="35">
        <f t="shared" si="4"/>
        <v>157</v>
      </c>
      <c r="G131" s="35">
        <f t="shared" si="5"/>
        <v>129</v>
      </c>
      <c r="H131" s="116" t="s">
        <v>709</v>
      </c>
      <c r="I131" s="29" t="s">
        <v>207</v>
      </c>
      <c r="J131" s="129" t="s">
        <v>254</v>
      </c>
      <c r="K131" s="69"/>
      <c r="L131" s="154"/>
    </row>
    <row r="132" spans="1:12" ht="14.25" customHeight="1" x14ac:dyDescent="0.25">
      <c r="A132" s="23" t="s">
        <v>505</v>
      </c>
      <c r="B132" s="1" t="s">
        <v>506</v>
      </c>
      <c r="C132" s="24">
        <v>1</v>
      </c>
      <c r="D132" s="25" t="s">
        <v>29</v>
      </c>
      <c r="E132" s="24"/>
      <c r="F132" s="35">
        <f t="shared" ref="F132:F195" si="6">F131+C131</f>
        <v>159</v>
      </c>
      <c r="G132" s="35">
        <f t="shared" si="5"/>
        <v>130</v>
      </c>
      <c r="H132" s="116" t="s">
        <v>708</v>
      </c>
      <c r="I132" s="55" t="s">
        <v>102</v>
      </c>
      <c r="J132" s="129" t="s">
        <v>254</v>
      </c>
      <c r="K132" s="68"/>
      <c r="L132" s="154"/>
    </row>
    <row r="133" spans="1:12" ht="14.25" customHeight="1" x14ac:dyDescent="0.25">
      <c r="A133" s="23" t="s">
        <v>508</v>
      </c>
      <c r="B133" s="1" t="s">
        <v>188</v>
      </c>
      <c r="C133" s="24">
        <v>1</v>
      </c>
      <c r="D133" s="25" t="s">
        <v>29</v>
      </c>
      <c r="E133" s="24"/>
      <c r="F133" s="35">
        <f t="shared" si="6"/>
        <v>160</v>
      </c>
      <c r="G133" s="35">
        <f t="shared" si="5"/>
        <v>131</v>
      </c>
      <c r="H133" s="116" t="s">
        <v>708</v>
      </c>
      <c r="I133" s="55" t="s">
        <v>109</v>
      </c>
      <c r="J133" s="129"/>
      <c r="K133" s="68"/>
      <c r="L133" s="154"/>
    </row>
    <row r="134" spans="1:12" ht="14.25" customHeight="1" x14ac:dyDescent="0.25">
      <c r="A134" s="23" t="s">
        <v>509</v>
      </c>
      <c r="B134" s="1" t="s">
        <v>188</v>
      </c>
      <c r="C134" s="24">
        <v>1</v>
      </c>
      <c r="D134" s="25" t="s">
        <v>29</v>
      </c>
      <c r="E134" s="24"/>
      <c r="F134" s="35">
        <f t="shared" si="6"/>
        <v>161</v>
      </c>
      <c r="G134" s="35">
        <f t="shared" si="5"/>
        <v>132</v>
      </c>
      <c r="H134" s="116" t="s">
        <v>708</v>
      </c>
      <c r="I134" s="58" t="s">
        <v>62</v>
      </c>
      <c r="J134" s="129"/>
      <c r="K134" s="68"/>
      <c r="L134" s="154"/>
    </row>
    <row r="135" spans="1:12" ht="14.25" customHeight="1" x14ac:dyDescent="0.25">
      <c r="A135" s="23" t="s">
        <v>510</v>
      </c>
      <c r="B135" s="1" t="s">
        <v>188</v>
      </c>
      <c r="C135" s="24">
        <v>1</v>
      </c>
      <c r="D135" s="25" t="s">
        <v>29</v>
      </c>
      <c r="E135" s="24"/>
      <c r="F135" s="35">
        <f t="shared" si="6"/>
        <v>162</v>
      </c>
      <c r="G135" s="35">
        <f t="shared" si="5"/>
        <v>133</v>
      </c>
      <c r="H135" s="116" t="s">
        <v>708</v>
      </c>
      <c r="I135" s="58" t="s">
        <v>63</v>
      </c>
      <c r="J135" s="129"/>
      <c r="K135" s="68"/>
      <c r="L135" s="154"/>
    </row>
    <row r="136" spans="1:12" ht="14.25" customHeight="1" x14ac:dyDescent="0.25">
      <c r="A136" s="23" t="s">
        <v>511</v>
      </c>
      <c r="B136" s="1" t="s">
        <v>188</v>
      </c>
      <c r="C136" s="24">
        <v>1</v>
      </c>
      <c r="D136" s="25" t="s">
        <v>29</v>
      </c>
      <c r="E136" s="24"/>
      <c r="F136" s="35">
        <f t="shared" si="6"/>
        <v>163</v>
      </c>
      <c r="G136" s="35">
        <f t="shared" si="5"/>
        <v>134</v>
      </c>
      <c r="H136" s="116" t="s">
        <v>708</v>
      </c>
      <c r="I136" s="58" t="s">
        <v>146</v>
      </c>
      <c r="J136" s="129"/>
      <c r="K136" s="68"/>
      <c r="L136" s="154"/>
    </row>
    <row r="137" spans="1:12" ht="14.25" customHeight="1" x14ac:dyDescent="0.25">
      <c r="A137" s="23" t="s">
        <v>512</v>
      </c>
      <c r="B137" s="1" t="s">
        <v>188</v>
      </c>
      <c r="C137" s="24">
        <v>1</v>
      </c>
      <c r="D137" s="25" t="s">
        <v>29</v>
      </c>
      <c r="E137" s="24"/>
      <c r="F137" s="35">
        <f t="shared" si="6"/>
        <v>164</v>
      </c>
      <c r="G137" s="35">
        <f t="shared" si="5"/>
        <v>135</v>
      </c>
      <c r="H137" s="116" t="s">
        <v>708</v>
      </c>
      <c r="I137" s="55" t="s">
        <v>64</v>
      </c>
      <c r="J137" s="129"/>
      <c r="K137" s="68"/>
      <c r="L137" s="154"/>
    </row>
    <row r="138" spans="1:12" ht="14.25" customHeight="1" x14ac:dyDescent="0.25">
      <c r="A138" s="23" t="s">
        <v>513</v>
      </c>
      <c r="B138" s="1" t="s">
        <v>188</v>
      </c>
      <c r="C138" s="24">
        <v>1</v>
      </c>
      <c r="D138" s="25" t="s">
        <v>29</v>
      </c>
      <c r="E138" s="24"/>
      <c r="F138" s="35">
        <f t="shared" si="6"/>
        <v>165</v>
      </c>
      <c r="G138" s="35">
        <f t="shared" si="5"/>
        <v>136</v>
      </c>
      <c r="H138" s="116" t="s">
        <v>708</v>
      </c>
      <c r="I138" s="55" t="s">
        <v>144</v>
      </c>
      <c r="J138" s="129"/>
      <c r="K138" s="68"/>
      <c r="L138" s="154"/>
    </row>
    <row r="139" spans="1:12" ht="14.25" customHeight="1" x14ac:dyDescent="0.25">
      <c r="A139" s="23" t="s">
        <v>514</v>
      </c>
      <c r="B139" s="1" t="s">
        <v>188</v>
      </c>
      <c r="C139" s="24">
        <v>1</v>
      </c>
      <c r="D139" s="25" t="s">
        <v>29</v>
      </c>
      <c r="E139" s="24"/>
      <c r="F139" s="35">
        <f t="shared" si="6"/>
        <v>166</v>
      </c>
      <c r="G139" s="35">
        <f t="shared" si="5"/>
        <v>137</v>
      </c>
      <c r="H139" s="116" t="s">
        <v>708</v>
      </c>
      <c r="I139" s="55" t="s">
        <v>145</v>
      </c>
      <c r="J139" s="129"/>
      <c r="K139" s="68"/>
      <c r="L139" s="154"/>
    </row>
    <row r="140" spans="1:12" ht="14.25" customHeight="1" x14ac:dyDescent="0.25">
      <c r="A140" s="41" t="s">
        <v>515</v>
      </c>
      <c r="B140" s="42" t="s">
        <v>188</v>
      </c>
      <c r="C140" s="36">
        <v>1</v>
      </c>
      <c r="D140" s="43" t="s">
        <v>29</v>
      </c>
      <c r="E140" s="36"/>
      <c r="F140" s="77">
        <f t="shared" si="6"/>
        <v>167</v>
      </c>
      <c r="G140" s="77">
        <f t="shared" si="5"/>
        <v>138</v>
      </c>
      <c r="H140" s="117" t="s">
        <v>708</v>
      </c>
      <c r="I140" s="51" t="s">
        <v>507</v>
      </c>
      <c r="J140" s="132"/>
      <c r="K140" s="71"/>
      <c r="L140" s="155"/>
    </row>
    <row r="141" spans="1:12" ht="14.25" customHeight="1" x14ac:dyDescent="0.25">
      <c r="A141" s="23" t="s">
        <v>522</v>
      </c>
      <c r="B141" s="1" t="s">
        <v>188</v>
      </c>
      <c r="C141" s="24">
        <v>1</v>
      </c>
      <c r="D141" s="25" t="s">
        <v>29</v>
      </c>
      <c r="E141" s="24"/>
      <c r="F141" s="35">
        <f t="shared" si="6"/>
        <v>168</v>
      </c>
      <c r="G141" s="35">
        <f>G140+1</f>
        <v>139</v>
      </c>
      <c r="H141" s="116" t="s">
        <v>708</v>
      </c>
      <c r="I141" s="58" t="s">
        <v>517</v>
      </c>
      <c r="J141" s="129"/>
      <c r="K141" s="68"/>
      <c r="L141" s="153" t="s">
        <v>553</v>
      </c>
    </row>
    <row r="142" spans="1:12" ht="14.25" customHeight="1" x14ac:dyDescent="0.25">
      <c r="A142" s="23" t="s">
        <v>523</v>
      </c>
      <c r="B142" s="1" t="s">
        <v>260</v>
      </c>
      <c r="C142" s="24">
        <v>1</v>
      </c>
      <c r="D142" s="25" t="s">
        <v>29</v>
      </c>
      <c r="E142" s="24"/>
      <c r="F142" s="35">
        <f t="shared" si="6"/>
        <v>169</v>
      </c>
      <c r="G142" s="35">
        <f>G141+1</f>
        <v>140</v>
      </c>
      <c r="H142" s="116" t="s">
        <v>708</v>
      </c>
      <c r="I142" s="55" t="s">
        <v>223</v>
      </c>
      <c r="J142" s="129" t="s">
        <v>254</v>
      </c>
      <c r="K142" s="68"/>
      <c r="L142" s="154"/>
    </row>
    <row r="143" spans="1:12" ht="14.25" customHeight="1" x14ac:dyDescent="0.25">
      <c r="A143" s="23" t="s">
        <v>524</v>
      </c>
      <c r="B143" s="1" t="s">
        <v>260</v>
      </c>
      <c r="C143" s="24">
        <v>1</v>
      </c>
      <c r="D143" s="25" t="s">
        <v>29</v>
      </c>
      <c r="E143" s="24"/>
      <c r="F143" s="35">
        <f t="shared" si="6"/>
        <v>170</v>
      </c>
      <c r="G143" s="35">
        <f t="shared" si="5"/>
        <v>141</v>
      </c>
      <c r="H143" s="116" t="s">
        <v>708</v>
      </c>
      <c r="I143" s="55" t="s">
        <v>224</v>
      </c>
      <c r="J143" s="129" t="s">
        <v>254</v>
      </c>
      <c r="K143" s="68"/>
      <c r="L143" s="154"/>
    </row>
    <row r="144" spans="1:12" ht="14.25" customHeight="1" x14ac:dyDescent="0.25">
      <c r="A144" s="23" t="s">
        <v>525</v>
      </c>
      <c r="B144" s="1" t="s">
        <v>260</v>
      </c>
      <c r="C144" s="24">
        <v>1</v>
      </c>
      <c r="D144" s="25" t="s">
        <v>29</v>
      </c>
      <c r="E144" s="24"/>
      <c r="F144" s="35">
        <f t="shared" si="6"/>
        <v>171</v>
      </c>
      <c r="G144" s="35">
        <f t="shared" si="5"/>
        <v>142</v>
      </c>
      <c r="H144" s="116" t="s">
        <v>708</v>
      </c>
      <c r="I144" s="55" t="s">
        <v>225</v>
      </c>
      <c r="J144" s="129" t="s">
        <v>254</v>
      </c>
      <c r="K144" s="68"/>
      <c r="L144" s="154"/>
    </row>
    <row r="145" spans="1:12" ht="14.25" customHeight="1" x14ac:dyDescent="0.25">
      <c r="A145" s="23" t="s">
        <v>526</v>
      </c>
      <c r="B145" s="1" t="s">
        <v>260</v>
      </c>
      <c r="C145" s="24">
        <v>1</v>
      </c>
      <c r="D145" s="25" t="s">
        <v>29</v>
      </c>
      <c r="E145" s="24"/>
      <c r="F145" s="35">
        <f t="shared" si="6"/>
        <v>172</v>
      </c>
      <c r="G145" s="35">
        <f t="shared" si="5"/>
        <v>143</v>
      </c>
      <c r="H145" s="116" t="s">
        <v>708</v>
      </c>
      <c r="I145" s="55" t="s">
        <v>226</v>
      </c>
      <c r="J145" s="129" t="s">
        <v>254</v>
      </c>
      <c r="K145" s="68"/>
      <c r="L145" s="154"/>
    </row>
    <row r="146" spans="1:12" ht="14.25" customHeight="1" x14ac:dyDescent="0.25">
      <c r="A146" s="23" t="s">
        <v>527</v>
      </c>
      <c r="B146" s="1" t="s">
        <v>260</v>
      </c>
      <c r="C146" s="24">
        <v>1</v>
      </c>
      <c r="D146" s="25" t="s">
        <v>29</v>
      </c>
      <c r="E146" s="24"/>
      <c r="F146" s="35">
        <f t="shared" si="6"/>
        <v>173</v>
      </c>
      <c r="G146" s="35">
        <f t="shared" si="5"/>
        <v>144</v>
      </c>
      <c r="H146" s="116" t="s">
        <v>708</v>
      </c>
      <c r="I146" s="55" t="s">
        <v>227</v>
      </c>
      <c r="J146" s="129" t="s">
        <v>254</v>
      </c>
      <c r="K146" s="68"/>
      <c r="L146" s="154"/>
    </row>
    <row r="147" spans="1:12" ht="14.25" customHeight="1" x14ac:dyDescent="0.25">
      <c r="A147" s="23" t="s">
        <v>528</v>
      </c>
      <c r="B147" s="1" t="s">
        <v>260</v>
      </c>
      <c r="C147" s="24">
        <v>1</v>
      </c>
      <c r="D147" s="25" t="s">
        <v>29</v>
      </c>
      <c r="E147" s="24"/>
      <c r="F147" s="35">
        <f t="shared" si="6"/>
        <v>174</v>
      </c>
      <c r="G147" s="35">
        <f t="shared" ref="G147:G181" si="7">G146+1</f>
        <v>145</v>
      </c>
      <c r="H147" s="116" t="s">
        <v>708</v>
      </c>
      <c r="I147" s="55" t="s">
        <v>228</v>
      </c>
      <c r="J147" s="129" t="s">
        <v>254</v>
      </c>
      <c r="K147" s="68"/>
      <c r="L147" s="154"/>
    </row>
    <row r="148" spans="1:12" ht="14.25" customHeight="1" x14ac:dyDescent="0.25">
      <c r="A148" s="23" t="s">
        <v>529</v>
      </c>
      <c r="B148" s="1" t="s">
        <v>260</v>
      </c>
      <c r="C148" s="24">
        <v>1</v>
      </c>
      <c r="D148" s="25" t="s">
        <v>29</v>
      </c>
      <c r="E148" s="24"/>
      <c r="F148" s="35">
        <f t="shared" si="6"/>
        <v>175</v>
      </c>
      <c r="G148" s="35">
        <f t="shared" si="7"/>
        <v>146</v>
      </c>
      <c r="H148" s="116" t="s">
        <v>708</v>
      </c>
      <c r="I148" s="55" t="s">
        <v>229</v>
      </c>
      <c r="J148" s="129" t="s">
        <v>254</v>
      </c>
      <c r="K148" s="68"/>
      <c r="L148" s="154"/>
    </row>
    <row r="149" spans="1:12" ht="14.25" customHeight="1" x14ac:dyDescent="0.25">
      <c r="A149" s="23" t="s">
        <v>530</v>
      </c>
      <c r="B149" s="1" t="s">
        <v>260</v>
      </c>
      <c r="C149" s="24">
        <v>1</v>
      </c>
      <c r="D149" s="25" t="s">
        <v>29</v>
      </c>
      <c r="E149" s="24"/>
      <c r="F149" s="35">
        <f t="shared" si="6"/>
        <v>176</v>
      </c>
      <c r="G149" s="35">
        <f t="shared" si="7"/>
        <v>147</v>
      </c>
      <c r="H149" s="116" t="s">
        <v>708</v>
      </c>
      <c r="I149" s="55" t="s">
        <v>230</v>
      </c>
      <c r="J149" s="129" t="s">
        <v>254</v>
      </c>
      <c r="K149" s="68"/>
      <c r="L149" s="154"/>
    </row>
    <row r="150" spans="1:12" ht="14.25" customHeight="1" x14ac:dyDescent="0.25">
      <c r="A150" s="23" t="s">
        <v>531</v>
      </c>
      <c r="B150" s="1" t="s">
        <v>260</v>
      </c>
      <c r="C150" s="24">
        <v>1</v>
      </c>
      <c r="D150" s="25" t="s">
        <v>29</v>
      </c>
      <c r="E150" s="24"/>
      <c r="F150" s="35">
        <f t="shared" si="6"/>
        <v>177</v>
      </c>
      <c r="G150" s="35">
        <f t="shared" si="7"/>
        <v>148</v>
      </c>
      <c r="H150" s="116" t="s">
        <v>708</v>
      </c>
      <c r="I150" s="55" t="s">
        <v>231</v>
      </c>
      <c r="J150" s="129" t="s">
        <v>254</v>
      </c>
      <c r="K150" s="68"/>
      <c r="L150" s="154"/>
    </row>
    <row r="151" spans="1:12" ht="14.25" customHeight="1" x14ac:dyDescent="0.25">
      <c r="A151" s="23" t="s">
        <v>532</v>
      </c>
      <c r="B151" s="1" t="s">
        <v>260</v>
      </c>
      <c r="C151" s="24">
        <v>1</v>
      </c>
      <c r="D151" s="25" t="s">
        <v>29</v>
      </c>
      <c r="E151" s="24"/>
      <c r="F151" s="35">
        <f t="shared" si="6"/>
        <v>178</v>
      </c>
      <c r="G151" s="35">
        <f t="shared" si="7"/>
        <v>149</v>
      </c>
      <c r="H151" s="116" t="s">
        <v>708</v>
      </c>
      <c r="I151" s="55" t="s">
        <v>232</v>
      </c>
      <c r="J151" s="129" t="s">
        <v>254</v>
      </c>
      <c r="K151" s="68"/>
      <c r="L151" s="154"/>
    </row>
    <row r="152" spans="1:12" ht="14.25" customHeight="1" x14ac:dyDescent="0.25">
      <c r="A152" s="23" t="s">
        <v>533</v>
      </c>
      <c r="B152" s="1" t="s">
        <v>260</v>
      </c>
      <c r="C152" s="24">
        <v>1</v>
      </c>
      <c r="D152" s="25" t="s">
        <v>29</v>
      </c>
      <c r="E152" s="24"/>
      <c r="F152" s="35">
        <f t="shared" si="6"/>
        <v>179</v>
      </c>
      <c r="G152" s="35">
        <f t="shared" si="7"/>
        <v>150</v>
      </c>
      <c r="H152" s="116" t="s">
        <v>708</v>
      </c>
      <c r="I152" s="55" t="s">
        <v>233</v>
      </c>
      <c r="J152" s="129" t="s">
        <v>254</v>
      </c>
      <c r="K152" s="68"/>
      <c r="L152" s="154"/>
    </row>
    <row r="153" spans="1:12" ht="14.25" customHeight="1" x14ac:dyDescent="0.25">
      <c r="A153" s="23" t="s">
        <v>534</v>
      </c>
      <c r="B153" s="1" t="s">
        <v>260</v>
      </c>
      <c r="C153" s="24">
        <v>1</v>
      </c>
      <c r="D153" s="25" t="s">
        <v>29</v>
      </c>
      <c r="E153" s="24"/>
      <c r="F153" s="35">
        <f t="shared" si="6"/>
        <v>180</v>
      </c>
      <c r="G153" s="35">
        <f t="shared" si="7"/>
        <v>151</v>
      </c>
      <c r="H153" s="116" t="s">
        <v>708</v>
      </c>
      <c r="I153" s="55" t="s">
        <v>234</v>
      </c>
      <c r="J153" s="129" t="s">
        <v>254</v>
      </c>
      <c r="K153" s="68"/>
      <c r="L153" s="154"/>
    </row>
    <row r="154" spans="1:12" ht="14.25" customHeight="1" x14ac:dyDescent="0.25">
      <c r="A154" s="23" t="s">
        <v>535</v>
      </c>
      <c r="B154" s="1" t="s">
        <v>260</v>
      </c>
      <c r="C154" s="24">
        <v>1</v>
      </c>
      <c r="D154" s="25" t="s">
        <v>29</v>
      </c>
      <c r="E154" s="24"/>
      <c r="F154" s="35">
        <f t="shared" si="6"/>
        <v>181</v>
      </c>
      <c r="G154" s="35">
        <f t="shared" si="7"/>
        <v>152</v>
      </c>
      <c r="H154" s="116" t="s">
        <v>708</v>
      </c>
      <c r="I154" s="55" t="s">
        <v>235</v>
      </c>
      <c r="J154" s="129" t="s">
        <v>254</v>
      </c>
      <c r="K154" s="68"/>
      <c r="L154" s="154"/>
    </row>
    <row r="155" spans="1:12" ht="14.25" customHeight="1" x14ac:dyDescent="0.25">
      <c r="A155" s="23" t="s">
        <v>536</v>
      </c>
      <c r="B155" s="1" t="s">
        <v>260</v>
      </c>
      <c r="C155" s="24">
        <v>1</v>
      </c>
      <c r="D155" s="25" t="s">
        <v>29</v>
      </c>
      <c r="E155" s="24"/>
      <c r="F155" s="35">
        <f t="shared" si="6"/>
        <v>182</v>
      </c>
      <c r="G155" s="35">
        <f t="shared" si="7"/>
        <v>153</v>
      </c>
      <c r="H155" s="116" t="s">
        <v>708</v>
      </c>
      <c r="I155" s="55" t="s">
        <v>236</v>
      </c>
      <c r="J155" s="129" t="s">
        <v>254</v>
      </c>
      <c r="K155" s="68"/>
      <c r="L155" s="154"/>
    </row>
    <row r="156" spans="1:12" ht="14.25" customHeight="1" x14ac:dyDescent="0.25">
      <c r="A156" s="23" t="s">
        <v>537</v>
      </c>
      <c r="B156" s="1" t="s">
        <v>260</v>
      </c>
      <c r="C156" s="24">
        <v>1</v>
      </c>
      <c r="D156" s="25" t="s">
        <v>29</v>
      </c>
      <c r="E156" s="24"/>
      <c r="F156" s="35">
        <f t="shared" si="6"/>
        <v>183</v>
      </c>
      <c r="G156" s="35">
        <f t="shared" si="7"/>
        <v>154</v>
      </c>
      <c r="H156" s="116" t="s">
        <v>708</v>
      </c>
      <c r="I156" s="55" t="s">
        <v>520</v>
      </c>
      <c r="J156" s="129" t="s">
        <v>254</v>
      </c>
      <c r="K156" s="68"/>
      <c r="L156" s="154"/>
    </row>
    <row r="157" spans="1:12" ht="14.25" customHeight="1" x14ac:dyDescent="0.25">
      <c r="A157" s="23" t="s">
        <v>538</v>
      </c>
      <c r="B157" s="1" t="s">
        <v>260</v>
      </c>
      <c r="C157" s="24">
        <v>1</v>
      </c>
      <c r="D157" s="25" t="s">
        <v>29</v>
      </c>
      <c r="E157" s="24"/>
      <c r="F157" s="35">
        <f t="shared" si="6"/>
        <v>184</v>
      </c>
      <c r="G157" s="35">
        <f t="shared" si="7"/>
        <v>155</v>
      </c>
      <c r="H157" s="116" t="s">
        <v>708</v>
      </c>
      <c r="I157" s="55" t="s">
        <v>521</v>
      </c>
      <c r="J157" s="129" t="s">
        <v>254</v>
      </c>
      <c r="K157" s="68"/>
      <c r="L157" s="154"/>
    </row>
    <row r="158" spans="1:12" ht="14.25" customHeight="1" x14ac:dyDescent="0.25">
      <c r="A158" s="23" t="s">
        <v>539</v>
      </c>
      <c r="B158" s="1" t="s">
        <v>260</v>
      </c>
      <c r="C158" s="24">
        <v>1</v>
      </c>
      <c r="D158" s="25" t="s">
        <v>29</v>
      </c>
      <c r="E158" s="24"/>
      <c r="F158" s="35">
        <f t="shared" si="6"/>
        <v>185</v>
      </c>
      <c r="G158" s="35">
        <f t="shared" si="7"/>
        <v>156</v>
      </c>
      <c r="H158" s="116" t="s">
        <v>708</v>
      </c>
      <c r="I158" s="55" t="s">
        <v>237</v>
      </c>
      <c r="J158" s="129" t="s">
        <v>254</v>
      </c>
      <c r="K158" s="68"/>
      <c r="L158" s="154"/>
    </row>
    <row r="159" spans="1:12" ht="14.25" customHeight="1" x14ac:dyDescent="0.25">
      <c r="A159" s="23" t="s">
        <v>540</v>
      </c>
      <c r="B159" s="1" t="s">
        <v>260</v>
      </c>
      <c r="C159" s="24">
        <v>1</v>
      </c>
      <c r="D159" s="25" t="s">
        <v>29</v>
      </c>
      <c r="E159" s="24"/>
      <c r="F159" s="35">
        <f t="shared" si="6"/>
        <v>186</v>
      </c>
      <c r="G159" s="35">
        <f t="shared" si="7"/>
        <v>157</v>
      </c>
      <c r="H159" s="116" t="s">
        <v>708</v>
      </c>
      <c r="I159" s="55" t="s">
        <v>238</v>
      </c>
      <c r="J159" s="129" t="s">
        <v>254</v>
      </c>
      <c r="K159" s="68"/>
      <c r="L159" s="154"/>
    </row>
    <row r="160" spans="1:12" ht="14.25" customHeight="1" x14ac:dyDescent="0.25">
      <c r="A160" s="23" t="s">
        <v>541</v>
      </c>
      <c r="B160" s="1" t="s">
        <v>260</v>
      </c>
      <c r="C160" s="24">
        <v>1</v>
      </c>
      <c r="D160" s="25" t="s">
        <v>29</v>
      </c>
      <c r="E160" s="24"/>
      <c r="F160" s="35">
        <f t="shared" si="6"/>
        <v>187</v>
      </c>
      <c r="G160" s="35">
        <f t="shared" si="7"/>
        <v>158</v>
      </c>
      <c r="H160" s="116" t="s">
        <v>708</v>
      </c>
      <c r="I160" s="55" t="s">
        <v>239</v>
      </c>
      <c r="J160" s="129" t="s">
        <v>254</v>
      </c>
      <c r="K160" s="68"/>
      <c r="L160" s="154"/>
    </row>
    <row r="161" spans="1:12" ht="14.25" customHeight="1" x14ac:dyDescent="0.25">
      <c r="A161" s="23" t="s">
        <v>542</v>
      </c>
      <c r="B161" s="1" t="s">
        <v>260</v>
      </c>
      <c r="C161" s="24">
        <v>1</v>
      </c>
      <c r="D161" s="25" t="s">
        <v>29</v>
      </c>
      <c r="E161" s="24"/>
      <c r="F161" s="35">
        <f t="shared" si="6"/>
        <v>188</v>
      </c>
      <c r="G161" s="35">
        <f t="shared" si="7"/>
        <v>159</v>
      </c>
      <c r="H161" s="116" t="s">
        <v>708</v>
      </c>
      <c r="I161" s="55" t="s">
        <v>240</v>
      </c>
      <c r="J161" s="129" t="s">
        <v>254</v>
      </c>
      <c r="K161" s="68"/>
      <c r="L161" s="154"/>
    </row>
    <row r="162" spans="1:12" ht="14.25" customHeight="1" x14ac:dyDescent="0.25">
      <c r="A162" s="23" t="s">
        <v>543</v>
      </c>
      <c r="B162" s="1" t="s">
        <v>260</v>
      </c>
      <c r="C162" s="24">
        <v>1</v>
      </c>
      <c r="D162" s="25" t="s">
        <v>29</v>
      </c>
      <c r="E162" s="24"/>
      <c r="F162" s="35">
        <f t="shared" si="6"/>
        <v>189</v>
      </c>
      <c r="G162" s="35">
        <f t="shared" si="7"/>
        <v>160</v>
      </c>
      <c r="H162" s="116" t="s">
        <v>708</v>
      </c>
      <c r="I162" s="55" t="s">
        <v>518</v>
      </c>
      <c r="J162" s="129" t="s">
        <v>254</v>
      </c>
      <c r="K162" s="68"/>
      <c r="L162" s="154"/>
    </row>
    <row r="163" spans="1:12" ht="14.25" customHeight="1" x14ac:dyDescent="0.25">
      <c r="A163" s="23" t="s">
        <v>544</v>
      </c>
      <c r="B163" s="1" t="s">
        <v>260</v>
      </c>
      <c r="C163" s="24">
        <v>1</v>
      </c>
      <c r="D163" s="25" t="s">
        <v>29</v>
      </c>
      <c r="E163" s="24"/>
      <c r="F163" s="35">
        <f t="shared" si="6"/>
        <v>190</v>
      </c>
      <c r="G163" s="35">
        <f t="shared" si="7"/>
        <v>161</v>
      </c>
      <c r="H163" s="116" t="s">
        <v>708</v>
      </c>
      <c r="I163" s="55" t="s">
        <v>519</v>
      </c>
      <c r="J163" s="129" t="s">
        <v>254</v>
      </c>
      <c r="K163" s="68"/>
      <c r="L163" s="154"/>
    </row>
    <row r="164" spans="1:12" ht="14.25" customHeight="1" x14ac:dyDescent="0.25">
      <c r="A164" s="23" t="s">
        <v>545</v>
      </c>
      <c r="B164" s="1" t="s">
        <v>260</v>
      </c>
      <c r="C164" s="24">
        <v>1</v>
      </c>
      <c r="D164" s="25" t="s">
        <v>29</v>
      </c>
      <c r="E164" s="24"/>
      <c r="F164" s="35">
        <f t="shared" si="6"/>
        <v>191</v>
      </c>
      <c r="G164" s="35">
        <f t="shared" si="7"/>
        <v>162</v>
      </c>
      <c r="H164" s="116" t="s">
        <v>708</v>
      </c>
      <c r="I164" s="55" t="s">
        <v>241</v>
      </c>
      <c r="J164" s="129" t="s">
        <v>254</v>
      </c>
      <c r="K164" s="68"/>
      <c r="L164" s="154"/>
    </row>
    <row r="165" spans="1:12" ht="14.25" customHeight="1" x14ac:dyDescent="0.25">
      <c r="A165" s="23" t="s">
        <v>546</v>
      </c>
      <c r="B165" s="1" t="s">
        <v>260</v>
      </c>
      <c r="C165" s="24">
        <v>1</v>
      </c>
      <c r="D165" s="25" t="s">
        <v>29</v>
      </c>
      <c r="E165" s="24"/>
      <c r="F165" s="35">
        <f t="shared" si="6"/>
        <v>192</v>
      </c>
      <c r="G165" s="35">
        <f t="shared" si="7"/>
        <v>163</v>
      </c>
      <c r="H165" s="116" t="s">
        <v>708</v>
      </c>
      <c r="I165" s="55" t="s">
        <v>242</v>
      </c>
      <c r="J165" s="129" t="s">
        <v>254</v>
      </c>
      <c r="K165" s="68"/>
      <c r="L165" s="154"/>
    </row>
    <row r="166" spans="1:12" ht="14.25" customHeight="1" x14ac:dyDescent="0.25">
      <c r="A166" s="23" t="s">
        <v>547</v>
      </c>
      <c r="B166" s="1" t="s">
        <v>260</v>
      </c>
      <c r="C166" s="24">
        <v>1</v>
      </c>
      <c r="D166" s="25" t="s">
        <v>29</v>
      </c>
      <c r="E166" s="24"/>
      <c r="F166" s="35">
        <f t="shared" si="6"/>
        <v>193</v>
      </c>
      <c r="G166" s="35">
        <f t="shared" si="7"/>
        <v>164</v>
      </c>
      <c r="H166" s="116" t="s">
        <v>708</v>
      </c>
      <c r="I166" s="55" t="s">
        <v>243</v>
      </c>
      <c r="J166" s="129" t="s">
        <v>254</v>
      </c>
      <c r="K166" s="68"/>
      <c r="L166" s="154"/>
    </row>
    <row r="167" spans="1:12" ht="14.25" customHeight="1" x14ac:dyDescent="0.25">
      <c r="A167" s="23" t="s">
        <v>548</v>
      </c>
      <c r="B167" s="1" t="s">
        <v>260</v>
      </c>
      <c r="C167" s="24">
        <v>1</v>
      </c>
      <c r="D167" s="25" t="s">
        <v>29</v>
      </c>
      <c r="E167" s="24"/>
      <c r="F167" s="35">
        <f t="shared" si="6"/>
        <v>194</v>
      </c>
      <c r="G167" s="35">
        <f t="shared" si="7"/>
        <v>165</v>
      </c>
      <c r="H167" s="116" t="s">
        <v>708</v>
      </c>
      <c r="I167" s="55" t="s">
        <v>244</v>
      </c>
      <c r="J167" s="129" t="s">
        <v>254</v>
      </c>
      <c r="K167" s="68"/>
      <c r="L167" s="154"/>
    </row>
    <row r="168" spans="1:12" ht="14.25" customHeight="1" x14ac:dyDescent="0.25">
      <c r="A168" s="23" t="s">
        <v>549</v>
      </c>
      <c r="B168" s="1" t="s">
        <v>260</v>
      </c>
      <c r="C168" s="24">
        <v>1</v>
      </c>
      <c r="D168" s="25" t="s">
        <v>29</v>
      </c>
      <c r="E168" s="24"/>
      <c r="F168" s="35">
        <f t="shared" si="6"/>
        <v>195</v>
      </c>
      <c r="G168" s="35">
        <f t="shared" si="7"/>
        <v>166</v>
      </c>
      <c r="H168" s="116" t="s">
        <v>708</v>
      </c>
      <c r="I168" s="55" t="s">
        <v>245</v>
      </c>
      <c r="J168" s="129" t="s">
        <v>254</v>
      </c>
      <c r="K168" s="68"/>
      <c r="L168" s="154"/>
    </row>
    <row r="169" spans="1:12" ht="14.25" customHeight="1" x14ac:dyDescent="0.25">
      <c r="A169" s="23" t="s">
        <v>550</v>
      </c>
      <c r="B169" s="1" t="s">
        <v>260</v>
      </c>
      <c r="C169" s="24">
        <v>1</v>
      </c>
      <c r="D169" s="25" t="s">
        <v>29</v>
      </c>
      <c r="E169" s="24"/>
      <c r="F169" s="35">
        <f t="shared" si="6"/>
        <v>196</v>
      </c>
      <c r="G169" s="35">
        <f t="shared" si="7"/>
        <v>167</v>
      </c>
      <c r="H169" s="116" t="s">
        <v>708</v>
      </c>
      <c r="I169" s="55" t="s">
        <v>246</v>
      </c>
      <c r="J169" s="129" t="s">
        <v>254</v>
      </c>
      <c r="K169" s="68"/>
      <c r="L169" s="154"/>
    </row>
    <row r="170" spans="1:12" ht="14.25" customHeight="1" x14ac:dyDescent="0.25">
      <c r="A170" s="23" t="s">
        <v>551</v>
      </c>
      <c r="B170" s="1" t="s">
        <v>260</v>
      </c>
      <c r="C170" s="24">
        <v>1</v>
      </c>
      <c r="D170" s="25" t="s">
        <v>29</v>
      </c>
      <c r="E170" s="24"/>
      <c r="F170" s="35">
        <f t="shared" si="6"/>
        <v>197</v>
      </c>
      <c r="G170" s="35">
        <f t="shared" si="7"/>
        <v>168</v>
      </c>
      <c r="H170" s="116" t="s">
        <v>708</v>
      </c>
      <c r="I170" s="55" t="s">
        <v>247</v>
      </c>
      <c r="J170" s="129" t="s">
        <v>254</v>
      </c>
      <c r="K170" s="68"/>
      <c r="L170" s="154"/>
    </row>
    <row r="171" spans="1:12" ht="14.25" customHeight="1" x14ac:dyDescent="0.25">
      <c r="A171" s="23" t="s">
        <v>552</v>
      </c>
      <c r="B171" s="1" t="s">
        <v>260</v>
      </c>
      <c r="C171" s="24">
        <v>1</v>
      </c>
      <c r="D171" s="25" t="s">
        <v>29</v>
      </c>
      <c r="E171" s="24"/>
      <c r="F171" s="77">
        <f t="shared" si="6"/>
        <v>198</v>
      </c>
      <c r="G171" s="77">
        <f t="shared" si="7"/>
        <v>169</v>
      </c>
      <c r="H171" s="117" t="s">
        <v>708</v>
      </c>
      <c r="I171" s="51" t="s">
        <v>248</v>
      </c>
      <c r="J171" s="132" t="s">
        <v>254</v>
      </c>
      <c r="K171" s="71"/>
      <c r="L171" s="155"/>
    </row>
    <row r="172" spans="1:12" ht="14.25" customHeight="1" x14ac:dyDescent="0.25">
      <c r="A172" s="37" t="s">
        <v>555</v>
      </c>
      <c r="B172" s="38" t="s">
        <v>561</v>
      </c>
      <c r="C172" s="39">
        <v>1</v>
      </c>
      <c r="D172" s="40" t="s">
        <v>29</v>
      </c>
      <c r="E172" s="39"/>
      <c r="F172" s="35">
        <f t="shared" si="6"/>
        <v>199</v>
      </c>
      <c r="G172" s="35">
        <f>G171+1</f>
        <v>170</v>
      </c>
      <c r="H172" s="116" t="s">
        <v>708</v>
      </c>
      <c r="I172" s="55" t="s">
        <v>169</v>
      </c>
      <c r="J172" s="129"/>
      <c r="K172" s="68"/>
      <c r="L172" s="153" t="s">
        <v>554</v>
      </c>
    </row>
    <row r="173" spans="1:12" ht="14.25" customHeight="1" x14ac:dyDescent="0.25">
      <c r="A173" s="23" t="s">
        <v>556</v>
      </c>
      <c r="B173" s="1" t="s">
        <v>561</v>
      </c>
      <c r="C173" s="24">
        <v>1</v>
      </c>
      <c r="D173" s="25" t="s">
        <v>29</v>
      </c>
      <c r="E173" s="24"/>
      <c r="F173" s="35">
        <f t="shared" si="6"/>
        <v>200</v>
      </c>
      <c r="G173" s="35">
        <f t="shared" si="7"/>
        <v>171</v>
      </c>
      <c r="H173" s="116" t="s">
        <v>708</v>
      </c>
      <c r="I173" s="58" t="s">
        <v>170</v>
      </c>
      <c r="J173" s="129"/>
      <c r="K173" s="68"/>
      <c r="L173" s="154"/>
    </row>
    <row r="174" spans="1:12" ht="14.25" customHeight="1" x14ac:dyDescent="0.25">
      <c r="A174" s="23" t="s">
        <v>557</v>
      </c>
      <c r="B174" s="1" t="s">
        <v>562</v>
      </c>
      <c r="C174" s="24">
        <v>1</v>
      </c>
      <c r="D174" s="25" t="s">
        <v>29</v>
      </c>
      <c r="E174" s="24"/>
      <c r="F174" s="35">
        <f t="shared" si="6"/>
        <v>201</v>
      </c>
      <c r="G174" s="35">
        <f t="shared" si="7"/>
        <v>172</v>
      </c>
      <c r="H174" s="116" t="s">
        <v>708</v>
      </c>
      <c r="I174" s="58" t="s">
        <v>171</v>
      </c>
      <c r="J174" s="129"/>
      <c r="K174" s="68"/>
      <c r="L174" s="154"/>
    </row>
    <row r="175" spans="1:12" ht="14.25" customHeight="1" x14ac:dyDescent="0.25">
      <c r="A175" s="23" t="s">
        <v>558</v>
      </c>
      <c r="B175" s="1" t="s">
        <v>562</v>
      </c>
      <c r="C175" s="24">
        <v>1</v>
      </c>
      <c r="D175" s="25" t="s">
        <v>29</v>
      </c>
      <c r="E175" s="24"/>
      <c r="F175" s="35">
        <f t="shared" si="6"/>
        <v>202</v>
      </c>
      <c r="G175" s="35">
        <f t="shared" si="7"/>
        <v>173</v>
      </c>
      <c r="H175" s="116" t="s">
        <v>708</v>
      </c>
      <c r="I175" s="58" t="s">
        <v>172</v>
      </c>
      <c r="J175" s="129"/>
      <c r="K175" s="68"/>
      <c r="L175" s="154"/>
    </row>
    <row r="176" spans="1:12" ht="14.25" customHeight="1" x14ac:dyDescent="0.25">
      <c r="A176" s="23" t="s">
        <v>559</v>
      </c>
      <c r="B176" s="1" t="s">
        <v>562</v>
      </c>
      <c r="C176" s="24">
        <v>1</v>
      </c>
      <c r="D176" s="25" t="s">
        <v>29</v>
      </c>
      <c r="E176" s="24"/>
      <c r="F176" s="35">
        <f t="shared" si="6"/>
        <v>203</v>
      </c>
      <c r="G176" s="35">
        <f t="shared" si="7"/>
        <v>174</v>
      </c>
      <c r="H176" s="116" t="s">
        <v>708</v>
      </c>
      <c r="I176" s="58" t="s">
        <v>173</v>
      </c>
      <c r="J176" s="129"/>
      <c r="K176" s="68"/>
      <c r="L176" s="154"/>
    </row>
    <row r="177" spans="1:12" ht="13.2" x14ac:dyDescent="0.25">
      <c r="A177" s="59" t="s">
        <v>560</v>
      </c>
      <c r="B177" s="42" t="s">
        <v>562</v>
      </c>
      <c r="C177" s="60">
        <v>1</v>
      </c>
      <c r="D177" s="61" t="s">
        <v>29</v>
      </c>
      <c r="E177" s="60"/>
      <c r="F177" s="77">
        <f t="shared" si="6"/>
        <v>204</v>
      </c>
      <c r="G177" s="77">
        <f t="shared" si="7"/>
        <v>175</v>
      </c>
      <c r="H177" s="117" t="s">
        <v>708</v>
      </c>
      <c r="I177" s="62" t="s">
        <v>174</v>
      </c>
      <c r="J177" s="135"/>
      <c r="K177" s="73"/>
      <c r="L177" s="155"/>
    </row>
    <row r="178" spans="1:12" ht="13.2" x14ac:dyDescent="0.25">
      <c r="A178" s="147" t="s">
        <v>564</v>
      </c>
      <c r="B178" s="1" t="s">
        <v>208</v>
      </c>
      <c r="C178" s="100">
        <v>3</v>
      </c>
      <c r="D178" s="48" t="s">
        <v>66</v>
      </c>
      <c r="E178" s="100"/>
      <c r="F178" s="35">
        <f t="shared" si="6"/>
        <v>205</v>
      </c>
      <c r="G178" s="35">
        <f t="shared" si="7"/>
        <v>176</v>
      </c>
      <c r="H178" s="116" t="s">
        <v>709</v>
      </c>
      <c r="I178" s="101" t="s">
        <v>567</v>
      </c>
      <c r="J178" s="136"/>
      <c r="K178" s="50"/>
      <c r="L178" s="153" t="s">
        <v>563</v>
      </c>
    </row>
    <row r="179" spans="1:12" ht="14.25" customHeight="1" x14ac:dyDescent="0.25">
      <c r="A179" s="143" t="s">
        <v>565</v>
      </c>
      <c r="B179" s="82" t="s">
        <v>208</v>
      </c>
      <c r="C179" s="18">
        <v>3</v>
      </c>
      <c r="D179" s="28" t="s">
        <v>66</v>
      </c>
      <c r="E179" s="24"/>
      <c r="F179" s="35">
        <f t="shared" si="6"/>
        <v>208</v>
      </c>
      <c r="G179" s="35">
        <f t="shared" si="7"/>
        <v>177</v>
      </c>
      <c r="H179" s="116" t="s">
        <v>709</v>
      </c>
      <c r="I179" s="29" t="s">
        <v>568</v>
      </c>
      <c r="J179" s="129"/>
      <c r="K179" s="23"/>
      <c r="L179" s="154"/>
    </row>
    <row r="180" spans="1:12" ht="13.2" x14ac:dyDescent="0.25">
      <c r="A180" s="146" t="s">
        <v>566</v>
      </c>
      <c r="B180" s="83" t="s">
        <v>570</v>
      </c>
      <c r="C180" s="60">
        <v>1</v>
      </c>
      <c r="D180" s="61" t="s">
        <v>29</v>
      </c>
      <c r="E180" s="60"/>
      <c r="F180" s="77">
        <f t="shared" si="6"/>
        <v>211</v>
      </c>
      <c r="G180" s="77">
        <f t="shared" si="7"/>
        <v>178</v>
      </c>
      <c r="H180" s="120" t="s">
        <v>710</v>
      </c>
      <c r="I180" s="93" t="s">
        <v>569</v>
      </c>
      <c r="J180" s="132"/>
      <c r="K180" s="41"/>
      <c r="L180" s="155"/>
    </row>
    <row r="181" spans="1:12" ht="14.25" customHeight="1" x14ac:dyDescent="0.25">
      <c r="A181" s="37" t="s">
        <v>575</v>
      </c>
      <c r="B181" s="38"/>
      <c r="C181" s="39">
        <v>2</v>
      </c>
      <c r="D181" s="40" t="s">
        <v>66</v>
      </c>
      <c r="E181" s="39"/>
      <c r="F181" s="75">
        <f t="shared" si="6"/>
        <v>212</v>
      </c>
      <c r="G181" s="75">
        <f t="shared" si="7"/>
        <v>179</v>
      </c>
      <c r="H181" s="75"/>
      <c r="I181" s="102" t="s">
        <v>593</v>
      </c>
      <c r="J181" s="131"/>
      <c r="K181" s="72"/>
      <c r="L181" s="153" t="s">
        <v>576</v>
      </c>
    </row>
    <row r="182" spans="1:12" ht="14.25" customHeight="1" x14ac:dyDescent="0.25">
      <c r="A182" s="143" t="s">
        <v>577</v>
      </c>
      <c r="B182" s="4" t="s">
        <v>578</v>
      </c>
      <c r="C182" s="18">
        <v>1</v>
      </c>
      <c r="D182" s="28" t="s">
        <v>29</v>
      </c>
      <c r="E182" s="18"/>
      <c r="F182" s="35">
        <f t="shared" si="6"/>
        <v>214</v>
      </c>
      <c r="G182" s="35">
        <f t="shared" ref="G182:G238" si="8">G181+1</f>
        <v>180</v>
      </c>
      <c r="H182" s="116" t="s">
        <v>708</v>
      </c>
      <c r="I182" s="29" t="s">
        <v>67</v>
      </c>
      <c r="J182" s="129"/>
      <c r="K182" s="68"/>
      <c r="L182" s="154"/>
    </row>
    <row r="183" spans="1:12" ht="14.25" customHeight="1" x14ac:dyDescent="0.25">
      <c r="A183" s="148" t="s">
        <v>587</v>
      </c>
      <c r="B183" s="82" t="s">
        <v>583</v>
      </c>
      <c r="C183" s="18">
        <v>1</v>
      </c>
      <c r="D183" s="28" t="s">
        <v>29</v>
      </c>
      <c r="E183" s="18"/>
      <c r="F183" s="35">
        <f t="shared" si="6"/>
        <v>215</v>
      </c>
      <c r="G183" s="35">
        <f t="shared" si="8"/>
        <v>181</v>
      </c>
      <c r="H183" s="116" t="s">
        <v>708</v>
      </c>
      <c r="I183" s="29" t="s">
        <v>591</v>
      </c>
      <c r="J183" s="129" t="s">
        <v>254</v>
      </c>
      <c r="K183" s="68"/>
      <c r="L183" s="154"/>
    </row>
    <row r="184" spans="1:12" ht="14.25" customHeight="1" x14ac:dyDescent="0.25">
      <c r="A184" s="143" t="s">
        <v>588</v>
      </c>
      <c r="B184" s="82" t="s">
        <v>258</v>
      </c>
      <c r="C184" s="18">
        <v>2</v>
      </c>
      <c r="D184" s="28" t="s">
        <v>66</v>
      </c>
      <c r="E184" s="18"/>
      <c r="F184" s="35">
        <f t="shared" si="6"/>
        <v>216</v>
      </c>
      <c r="G184" s="35">
        <f t="shared" si="8"/>
        <v>182</v>
      </c>
      <c r="H184" s="116" t="s">
        <v>709</v>
      </c>
      <c r="I184" s="29" t="s">
        <v>594</v>
      </c>
      <c r="J184" s="129" t="s">
        <v>254</v>
      </c>
      <c r="K184" s="68"/>
      <c r="L184" s="154"/>
    </row>
    <row r="185" spans="1:12" ht="14.25" customHeight="1" x14ac:dyDescent="0.25">
      <c r="A185" s="143" t="s">
        <v>589</v>
      </c>
      <c r="B185" s="82" t="s">
        <v>583</v>
      </c>
      <c r="C185" s="18">
        <v>1</v>
      </c>
      <c r="D185" s="28" t="s">
        <v>29</v>
      </c>
      <c r="E185" s="18"/>
      <c r="F185" s="35">
        <f t="shared" si="6"/>
        <v>218</v>
      </c>
      <c r="G185" s="35">
        <f t="shared" si="8"/>
        <v>183</v>
      </c>
      <c r="H185" s="116" t="s">
        <v>708</v>
      </c>
      <c r="I185" s="29" t="s">
        <v>592</v>
      </c>
      <c r="J185" s="129" t="s">
        <v>254</v>
      </c>
      <c r="K185" s="68"/>
      <c r="L185" s="154"/>
    </row>
    <row r="186" spans="1:12" ht="14.25" customHeight="1" x14ac:dyDescent="0.25">
      <c r="A186" s="144" t="s">
        <v>590</v>
      </c>
      <c r="B186" s="83" t="s">
        <v>258</v>
      </c>
      <c r="C186" s="30">
        <v>2</v>
      </c>
      <c r="D186" s="31" t="s">
        <v>66</v>
      </c>
      <c r="E186" s="30"/>
      <c r="F186" s="77">
        <f t="shared" si="6"/>
        <v>219</v>
      </c>
      <c r="G186" s="77">
        <f t="shared" si="8"/>
        <v>184</v>
      </c>
      <c r="H186" s="117" t="s">
        <v>709</v>
      </c>
      <c r="I186" s="54" t="s">
        <v>595</v>
      </c>
      <c r="J186" s="132" t="s">
        <v>254</v>
      </c>
      <c r="K186" s="71"/>
      <c r="L186" s="155"/>
    </row>
    <row r="187" spans="1:12" ht="14.25" customHeight="1" x14ac:dyDescent="0.25">
      <c r="A187" s="23" t="s">
        <v>597</v>
      </c>
      <c r="B187" s="1" t="s">
        <v>260</v>
      </c>
      <c r="C187" s="18">
        <v>1</v>
      </c>
      <c r="D187" s="44" t="s">
        <v>29</v>
      </c>
      <c r="E187" s="24"/>
      <c r="F187" s="35">
        <f t="shared" si="6"/>
        <v>221</v>
      </c>
      <c r="G187" s="35">
        <f t="shared" si="8"/>
        <v>185</v>
      </c>
      <c r="H187" s="116" t="s">
        <v>708</v>
      </c>
      <c r="I187" s="7" t="s">
        <v>645</v>
      </c>
      <c r="J187" s="129" t="s">
        <v>254</v>
      </c>
      <c r="K187" s="37"/>
      <c r="L187" s="153" t="s">
        <v>596</v>
      </c>
    </row>
    <row r="188" spans="1:12" ht="14.25" customHeight="1" x14ac:dyDescent="0.25">
      <c r="A188" s="26" t="s">
        <v>598</v>
      </c>
      <c r="B188" s="82" t="s">
        <v>258</v>
      </c>
      <c r="C188" s="18">
        <v>2</v>
      </c>
      <c r="D188" s="28" t="s">
        <v>66</v>
      </c>
      <c r="E188" s="18"/>
      <c r="F188" s="35">
        <f t="shared" si="6"/>
        <v>222</v>
      </c>
      <c r="G188" s="35">
        <f t="shared" si="8"/>
        <v>186</v>
      </c>
      <c r="H188" s="116" t="s">
        <v>709</v>
      </c>
      <c r="I188" s="7" t="s">
        <v>658</v>
      </c>
      <c r="J188" s="129" t="s">
        <v>254</v>
      </c>
      <c r="K188" s="23"/>
      <c r="L188" s="154"/>
    </row>
    <row r="189" spans="1:12" ht="14.25" customHeight="1" x14ac:dyDescent="0.25">
      <c r="A189" s="26" t="s">
        <v>599</v>
      </c>
      <c r="B189" s="82" t="s">
        <v>258</v>
      </c>
      <c r="C189" s="18">
        <v>2</v>
      </c>
      <c r="D189" s="28" t="s">
        <v>66</v>
      </c>
      <c r="E189" s="18"/>
      <c r="F189" s="35">
        <f t="shared" si="6"/>
        <v>224</v>
      </c>
      <c r="G189" s="35">
        <f t="shared" si="8"/>
        <v>187</v>
      </c>
      <c r="H189" s="116" t="s">
        <v>709</v>
      </c>
      <c r="I189" s="7" t="s">
        <v>659</v>
      </c>
      <c r="J189" s="129" t="s">
        <v>254</v>
      </c>
      <c r="K189" s="23"/>
      <c r="L189" s="154"/>
    </row>
    <row r="190" spans="1:12" ht="14.25" customHeight="1" x14ac:dyDescent="0.25">
      <c r="A190" s="26" t="s">
        <v>600</v>
      </c>
      <c r="B190" s="1" t="s">
        <v>260</v>
      </c>
      <c r="C190" s="18">
        <v>1</v>
      </c>
      <c r="D190" s="28" t="s">
        <v>29</v>
      </c>
      <c r="E190" s="18"/>
      <c r="F190" s="35">
        <f t="shared" si="6"/>
        <v>226</v>
      </c>
      <c r="G190" s="35">
        <f t="shared" si="8"/>
        <v>188</v>
      </c>
      <c r="H190" s="116" t="s">
        <v>708</v>
      </c>
      <c r="I190" s="7" t="s">
        <v>646</v>
      </c>
      <c r="J190" s="129" t="s">
        <v>254</v>
      </c>
      <c r="K190" s="23"/>
      <c r="L190" s="154"/>
    </row>
    <row r="191" spans="1:12" ht="14.25" customHeight="1" x14ac:dyDescent="0.25">
      <c r="A191" s="26" t="s">
        <v>601</v>
      </c>
      <c r="B191" s="82" t="s">
        <v>259</v>
      </c>
      <c r="C191" s="18">
        <v>1</v>
      </c>
      <c r="D191" s="28" t="s">
        <v>66</v>
      </c>
      <c r="E191" s="18"/>
      <c r="F191" s="35">
        <f t="shared" si="6"/>
        <v>227</v>
      </c>
      <c r="G191" s="35">
        <f t="shared" si="8"/>
        <v>189</v>
      </c>
      <c r="H191" s="116" t="s">
        <v>709</v>
      </c>
      <c r="I191" s="7" t="s">
        <v>660</v>
      </c>
      <c r="J191" s="129" t="s">
        <v>254</v>
      </c>
      <c r="K191" s="23"/>
      <c r="L191" s="154"/>
    </row>
    <row r="192" spans="1:12" ht="14.25" customHeight="1" x14ac:dyDescent="0.25">
      <c r="A192" s="1" t="s">
        <v>602</v>
      </c>
      <c r="B192" s="82" t="s">
        <v>258</v>
      </c>
      <c r="C192" s="18">
        <v>2</v>
      </c>
      <c r="D192" s="28" t="s">
        <v>66</v>
      </c>
      <c r="E192" s="24"/>
      <c r="F192" s="35">
        <f t="shared" si="6"/>
        <v>228</v>
      </c>
      <c r="G192" s="35">
        <f t="shared" si="8"/>
        <v>190</v>
      </c>
      <c r="H192" s="116" t="s">
        <v>709</v>
      </c>
      <c r="I192" s="7" t="s">
        <v>661</v>
      </c>
      <c r="J192" s="129" t="s">
        <v>254</v>
      </c>
      <c r="K192" s="23"/>
      <c r="L192" s="154"/>
    </row>
    <row r="193" spans="1:120" s="42" customFormat="1" ht="14.25" customHeight="1" x14ac:dyDescent="0.25">
      <c r="A193" s="26" t="s">
        <v>603</v>
      </c>
      <c r="B193" s="1" t="s">
        <v>260</v>
      </c>
      <c r="C193" s="18">
        <v>1</v>
      </c>
      <c r="D193" s="28" t="s">
        <v>29</v>
      </c>
      <c r="E193" s="18"/>
      <c r="F193" s="35">
        <f t="shared" si="6"/>
        <v>230</v>
      </c>
      <c r="G193" s="35">
        <f t="shared" si="8"/>
        <v>191</v>
      </c>
      <c r="H193" s="116" t="s">
        <v>708</v>
      </c>
      <c r="I193" s="7" t="s">
        <v>647</v>
      </c>
      <c r="J193" s="129" t="s">
        <v>254</v>
      </c>
      <c r="K193" s="23"/>
      <c r="L193" s="15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</row>
    <row r="194" spans="1:120" ht="14.25" customHeight="1" x14ac:dyDescent="0.25">
      <c r="A194" s="26" t="s">
        <v>604</v>
      </c>
      <c r="B194" s="82" t="s">
        <v>258</v>
      </c>
      <c r="C194" s="18">
        <v>2</v>
      </c>
      <c r="D194" s="28" t="s">
        <v>66</v>
      </c>
      <c r="E194" s="18"/>
      <c r="F194" s="35">
        <f t="shared" si="6"/>
        <v>231</v>
      </c>
      <c r="G194" s="35">
        <f t="shared" si="8"/>
        <v>192</v>
      </c>
      <c r="H194" s="116" t="s">
        <v>709</v>
      </c>
      <c r="I194" s="7" t="s">
        <v>662</v>
      </c>
      <c r="J194" s="129" t="s">
        <v>254</v>
      </c>
      <c r="K194" s="23"/>
      <c r="L194" s="154"/>
    </row>
    <row r="195" spans="1:120" ht="14.25" customHeight="1" x14ac:dyDescent="0.25">
      <c r="A195" s="27" t="s">
        <v>605</v>
      </c>
      <c r="B195" s="82" t="s">
        <v>258</v>
      </c>
      <c r="C195" s="18">
        <v>2</v>
      </c>
      <c r="D195" s="18" t="s">
        <v>66</v>
      </c>
      <c r="E195" s="18"/>
      <c r="F195" s="35">
        <f t="shared" si="6"/>
        <v>233</v>
      </c>
      <c r="G195" s="35">
        <f t="shared" si="8"/>
        <v>193</v>
      </c>
      <c r="H195" s="116" t="s">
        <v>709</v>
      </c>
      <c r="I195" s="7" t="s">
        <v>663</v>
      </c>
      <c r="J195" s="129" t="s">
        <v>254</v>
      </c>
      <c r="K195" s="23"/>
      <c r="L195" s="154"/>
    </row>
    <row r="196" spans="1:120" ht="14.25" customHeight="1" x14ac:dyDescent="0.25">
      <c r="A196" s="1" t="s">
        <v>606</v>
      </c>
      <c r="B196" s="1" t="s">
        <v>264</v>
      </c>
      <c r="C196" s="18">
        <v>1</v>
      </c>
      <c r="D196" s="28" t="s">
        <v>29</v>
      </c>
      <c r="E196" s="24"/>
      <c r="F196" s="35">
        <f t="shared" ref="F196:F242" si="9">F195+C195</f>
        <v>235</v>
      </c>
      <c r="G196" s="35">
        <f t="shared" si="8"/>
        <v>194</v>
      </c>
      <c r="H196" s="116" t="s">
        <v>708</v>
      </c>
      <c r="I196" s="7" t="s">
        <v>648</v>
      </c>
      <c r="J196" s="129" t="s">
        <v>254</v>
      </c>
      <c r="K196" s="23"/>
      <c r="L196" s="154"/>
    </row>
    <row r="197" spans="1:120" ht="14.25" customHeight="1" x14ac:dyDescent="0.25">
      <c r="A197" s="27" t="s">
        <v>607</v>
      </c>
      <c r="B197" s="1" t="s">
        <v>188</v>
      </c>
      <c r="C197" s="18">
        <v>1</v>
      </c>
      <c r="D197" s="28" t="s">
        <v>29</v>
      </c>
      <c r="E197" s="18"/>
      <c r="F197" s="35">
        <f t="shared" si="9"/>
        <v>236</v>
      </c>
      <c r="G197" s="35">
        <f t="shared" si="8"/>
        <v>195</v>
      </c>
      <c r="H197" s="116" t="s">
        <v>708</v>
      </c>
      <c r="I197" s="7" t="s">
        <v>649</v>
      </c>
      <c r="J197" s="129" t="s">
        <v>254</v>
      </c>
      <c r="K197" s="23"/>
      <c r="L197" s="154"/>
    </row>
    <row r="198" spans="1:120" ht="14.25" customHeight="1" x14ac:dyDescent="0.25">
      <c r="A198" s="27" t="s">
        <v>608</v>
      </c>
      <c r="B198" s="1" t="s">
        <v>188</v>
      </c>
      <c r="C198" s="18">
        <v>1</v>
      </c>
      <c r="D198" s="28" t="s">
        <v>29</v>
      </c>
      <c r="E198" s="18"/>
      <c r="F198" s="35">
        <f t="shared" si="9"/>
        <v>237</v>
      </c>
      <c r="G198" s="35">
        <f t="shared" si="8"/>
        <v>196</v>
      </c>
      <c r="H198" s="116" t="s">
        <v>708</v>
      </c>
      <c r="I198" s="7" t="s">
        <v>650</v>
      </c>
      <c r="J198" s="129" t="s">
        <v>254</v>
      </c>
      <c r="K198" s="23"/>
      <c r="L198" s="154"/>
    </row>
    <row r="199" spans="1:120" ht="14.25" customHeight="1" x14ac:dyDescent="0.25">
      <c r="A199" s="27" t="s">
        <v>609</v>
      </c>
      <c r="B199" s="1" t="s">
        <v>188</v>
      </c>
      <c r="C199" s="18">
        <v>1</v>
      </c>
      <c r="D199" s="28" t="s">
        <v>29</v>
      </c>
      <c r="E199" s="18"/>
      <c r="F199" s="35">
        <f t="shared" si="9"/>
        <v>238</v>
      </c>
      <c r="G199" s="35">
        <f t="shared" si="8"/>
        <v>197</v>
      </c>
      <c r="H199" s="116" t="s">
        <v>708</v>
      </c>
      <c r="I199" s="7" t="s">
        <v>651</v>
      </c>
      <c r="J199" s="129" t="s">
        <v>254</v>
      </c>
      <c r="K199" s="23"/>
      <c r="L199" s="154"/>
    </row>
    <row r="200" spans="1:120" ht="14.25" customHeight="1" x14ac:dyDescent="0.25">
      <c r="A200" s="27" t="s">
        <v>610</v>
      </c>
      <c r="B200" s="1" t="s">
        <v>188</v>
      </c>
      <c r="C200" s="18">
        <v>1</v>
      </c>
      <c r="D200" s="28" t="s">
        <v>29</v>
      </c>
      <c r="E200" s="18"/>
      <c r="F200" s="35">
        <f t="shared" si="9"/>
        <v>239</v>
      </c>
      <c r="G200" s="35">
        <f t="shared" si="8"/>
        <v>198</v>
      </c>
      <c r="H200" s="116" t="s">
        <v>708</v>
      </c>
      <c r="I200" s="7" t="s">
        <v>652</v>
      </c>
      <c r="J200" s="129" t="s">
        <v>254</v>
      </c>
      <c r="K200" s="23"/>
      <c r="L200" s="154"/>
    </row>
    <row r="201" spans="1:120" ht="14.25" customHeight="1" x14ac:dyDescent="0.25">
      <c r="A201" s="1" t="s">
        <v>611</v>
      </c>
      <c r="B201" s="1" t="s">
        <v>188</v>
      </c>
      <c r="C201" s="18">
        <v>1</v>
      </c>
      <c r="D201" s="28" t="s">
        <v>29</v>
      </c>
      <c r="E201" s="24"/>
      <c r="F201" s="35">
        <f t="shared" si="9"/>
        <v>240</v>
      </c>
      <c r="G201" s="35">
        <f t="shared" si="8"/>
        <v>199</v>
      </c>
      <c r="H201" s="116" t="s">
        <v>708</v>
      </c>
      <c r="I201" s="7" t="s">
        <v>653</v>
      </c>
      <c r="J201" s="129" t="s">
        <v>254</v>
      </c>
      <c r="K201" s="23"/>
      <c r="L201" s="154"/>
    </row>
    <row r="202" spans="1:120" s="42" customFormat="1" ht="14.25" customHeight="1" x14ac:dyDescent="0.25">
      <c r="A202" s="27" t="s">
        <v>612</v>
      </c>
      <c r="B202" s="1" t="s">
        <v>188</v>
      </c>
      <c r="C202" s="18">
        <v>1</v>
      </c>
      <c r="D202" s="28" t="s">
        <v>29</v>
      </c>
      <c r="E202" s="18"/>
      <c r="F202" s="35">
        <f t="shared" si="9"/>
        <v>241</v>
      </c>
      <c r="G202" s="35">
        <f t="shared" si="8"/>
        <v>200</v>
      </c>
      <c r="H202" s="116" t="s">
        <v>708</v>
      </c>
      <c r="I202" s="7" t="s">
        <v>654</v>
      </c>
      <c r="J202" s="129" t="s">
        <v>254</v>
      </c>
      <c r="K202" s="23"/>
      <c r="L202" s="15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</row>
    <row r="203" spans="1:120" ht="14.25" customHeight="1" x14ac:dyDescent="0.25">
      <c r="A203" s="27" t="s">
        <v>613</v>
      </c>
      <c r="B203" s="1" t="s">
        <v>188</v>
      </c>
      <c r="C203" s="18">
        <v>1</v>
      </c>
      <c r="D203" s="28" t="s">
        <v>29</v>
      </c>
      <c r="E203" s="18"/>
      <c r="F203" s="35">
        <f t="shared" si="9"/>
        <v>242</v>
      </c>
      <c r="G203" s="35">
        <f t="shared" si="8"/>
        <v>201</v>
      </c>
      <c r="H203" s="116" t="s">
        <v>708</v>
      </c>
      <c r="I203" s="7" t="s">
        <v>655</v>
      </c>
      <c r="J203" s="129" t="s">
        <v>254</v>
      </c>
      <c r="K203" s="23"/>
      <c r="L203" s="154"/>
    </row>
    <row r="204" spans="1:120" ht="14.25" customHeight="1" x14ac:dyDescent="0.25">
      <c r="A204" s="27" t="s">
        <v>614</v>
      </c>
      <c r="B204" s="1" t="s">
        <v>188</v>
      </c>
      <c r="C204" s="18">
        <v>1</v>
      </c>
      <c r="D204" s="28" t="s">
        <v>29</v>
      </c>
      <c r="E204" s="18"/>
      <c r="F204" s="35">
        <f t="shared" si="9"/>
        <v>243</v>
      </c>
      <c r="G204" s="35">
        <f t="shared" si="8"/>
        <v>202</v>
      </c>
      <c r="H204" s="116" t="s">
        <v>708</v>
      </c>
      <c r="I204" s="7" t="s">
        <v>656</v>
      </c>
      <c r="J204" s="129" t="s">
        <v>254</v>
      </c>
      <c r="K204" s="23"/>
      <c r="L204" s="154"/>
    </row>
    <row r="205" spans="1:120" ht="14.25" customHeight="1" x14ac:dyDescent="0.25">
      <c r="A205" s="27" t="s">
        <v>615</v>
      </c>
      <c r="B205" s="1" t="s">
        <v>188</v>
      </c>
      <c r="C205" s="18">
        <v>1</v>
      </c>
      <c r="D205" s="28" t="s">
        <v>29</v>
      </c>
      <c r="E205" s="18"/>
      <c r="F205" s="35">
        <f t="shared" si="9"/>
        <v>244</v>
      </c>
      <c r="G205" s="35">
        <f t="shared" si="8"/>
        <v>203</v>
      </c>
      <c r="H205" s="116" t="s">
        <v>708</v>
      </c>
      <c r="I205" s="7" t="s">
        <v>657</v>
      </c>
      <c r="J205" s="129" t="s">
        <v>254</v>
      </c>
      <c r="L205" s="154"/>
    </row>
    <row r="206" spans="1:120" ht="14.25" customHeight="1" x14ac:dyDescent="0.25">
      <c r="A206" s="1" t="s">
        <v>616</v>
      </c>
      <c r="B206" s="1" t="s">
        <v>265</v>
      </c>
      <c r="C206" s="18">
        <v>1</v>
      </c>
      <c r="D206" s="28" t="s">
        <v>29</v>
      </c>
      <c r="E206" s="24"/>
      <c r="F206" s="35">
        <f t="shared" si="9"/>
        <v>245</v>
      </c>
      <c r="G206" s="35">
        <f t="shared" si="8"/>
        <v>204</v>
      </c>
      <c r="H206" s="116" t="s">
        <v>708</v>
      </c>
      <c r="I206" s="55" t="s">
        <v>41</v>
      </c>
      <c r="J206" s="129" t="s">
        <v>254</v>
      </c>
      <c r="L206" s="154"/>
    </row>
    <row r="207" spans="1:120" ht="14.25" customHeight="1" x14ac:dyDescent="0.25">
      <c r="A207" s="1" t="s">
        <v>617</v>
      </c>
      <c r="B207" s="82" t="s">
        <v>258</v>
      </c>
      <c r="C207" s="18">
        <v>2</v>
      </c>
      <c r="D207" s="28" t="s">
        <v>66</v>
      </c>
      <c r="E207" s="24"/>
      <c r="F207" s="35">
        <f t="shared" si="9"/>
        <v>246</v>
      </c>
      <c r="G207" s="35">
        <f t="shared" si="8"/>
        <v>205</v>
      </c>
      <c r="H207" s="116" t="s">
        <v>709</v>
      </c>
      <c r="I207" s="58" t="s">
        <v>222</v>
      </c>
      <c r="J207" s="129" t="s">
        <v>254</v>
      </c>
      <c r="L207" s="154"/>
    </row>
    <row r="208" spans="1:120" ht="14.25" customHeight="1" x14ac:dyDescent="0.25">
      <c r="A208" s="1" t="s">
        <v>618</v>
      </c>
      <c r="B208" s="1" t="s">
        <v>265</v>
      </c>
      <c r="C208" s="18">
        <v>1</v>
      </c>
      <c r="D208" s="28" t="s">
        <v>29</v>
      </c>
      <c r="E208" s="24"/>
      <c r="F208" s="35">
        <f t="shared" si="9"/>
        <v>248</v>
      </c>
      <c r="G208" s="35">
        <f t="shared" si="8"/>
        <v>206</v>
      </c>
      <c r="H208" s="116" t="s">
        <v>708</v>
      </c>
      <c r="I208" s="55" t="s">
        <v>31</v>
      </c>
      <c r="J208" s="129" t="s">
        <v>254</v>
      </c>
      <c r="L208" s="154"/>
    </row>
    <row r="209" spans="1:12" ht="14.25" customHeight="1" x14ac:dyDescent="0.25">
      <c r="A209" s="1" t="s">
        <v>619</v>
      </c>
      <c r="B209" s="1" t="s">
        <v>265</v>
      </c>
      <c r="C209" s="18">
        <v>1</v>
      </c>
      <c r="D209" s="28" t="s">
        <v>29</v>
      </c>
      <c r="E209" s="24"/>
      <c r="F209" s="35">
        <f t="shared" si="9"/>
        <v>249</v>
      </c>
      <c r="G209" s="35">
        <f t="shared" si="8"/>
        <v>207</v>
      </c>
      <c r="H209" s="116" t="s">
        <v>708</v>
      </c>
      <c r="I209" s="55" t="s">
        <v>32</v>
      </c>
      <c r="J209" s="129" t="s">
        <v>254</v>
      </c>
      <c r="L209" s="154"/>
    </row>
    <row r="210" spans="1:12" ht="14.25" customHeight="1" x14ac:dyDescent="0.25">
      <c r="A210" s="1" t="s">
        <v>620</v>
      </c>
      <c r="B210" s="1" t="s">
        <v>265</v>
      </c>
      <c r="C210" s="18">
        <v>1</v>
      </c>
      <c r="D210" s="28" t="s">
        <v>29</v>
      </c>
      <c r="E210" s="24"/>
      <c r="F210" s="35">
        <f t="shared" si="9"/>
        <v>250</v>
      </c>
      <c r="G210" s="35">
        <f t="shared" si="8"/>
        <v>208</v>
      </c>
      <c r="H210" s="116" t="s">
        <v>708</v>
      </c>
      <c r="I210" s="55" t="s">
        <v>33</v>
      </c>
      <c r="J210" s="129" t="s">
        <v>254</v>
      </c>
      <c r="L210" s="154"/>
    </row>
    <row r="211" spans="1:12" ht="14.25" customHeight="1" x14ac:dyDescent="0.25">
      <c r="A211" s="1" t="s">
        <v>621</v>
      </c>
      <c r="B211" s="1" t="s">
        <v>265</v>
      </c>
      <c r="C211" s="18">
        <v>1</v>
      </c>
      <c r="D211" s="28" t="s">
        <v>29</v>
      </c>
      <c r="E211" s="24"/>
      <c r="F211" s="35">
        <f t="shared" si="9"/>
        <v>251</v>
      </c>
      <c r="G211" s="35">
        <f t="shared" si="8"/>
        <v>209</v>
      </c>
      <c r="H211" s="116" t="s">
        <v>708</v>
      </c>
      <c r="I211" s="55" t="s">
        <v>34</v>
      </c>
      <c r="J211" s="129" t="s">
        <v>254</v>
      </c>
      <c r="L211" s="154"/>
    </row>
    <row r="212" spans="1:12" ht="14.25" customHeight="1" x14ac:dyDescent="0.25">
      <c r="A212" s="1" t="s">
        <v>622</v>
      </c>
      <c r="B212" s="1" t="s">
        <v>265</v>
      </c>
      <c r="C212" s="18">
        <v>1</v>
      </c>
      <c r="D212" s="28" t="s">
        <v>29</v>
      </c>
      <c r="E212" s="24"/>
      <c r="F212" s="35">
        <f t="shared" si="9"/>
        <v>252</v>
      </c>
      <c r="G212" s="35">
        <f t="shared" si="8"/>
        <v>210</v>
      </c>
      <c r="H212" s="116" t="s">
        <v>708</v>
      </c>
      <c r="I212" s="55" t="s">
        <v>35</v>
      </c>
      <c r="J212" s="129" t="s">
        <v>254</v>
      </c>
      <c r="L212" s="154"/>
    </row>
    <row r="213" spans="1:12" ht="14.25" customHeight="1" x14ac:dyDescent="0.25">
      <c r="A213" s="1" t="s">
        <v>623</v>
      </c>
      <c r="B213" s="1" t="s">
        <v>265</v>
      </c>
      <c r="C213" s="18">
        <v>1</v>
      </c>
      <c r="D213" s="28" t="s">
        <v>29</v>
      </c>
      <c r="E213" s="24"/>
      <c r="F213" s="35">
        <f t="shared" si="9"/>
        <v>253</v>
      </c>
      <c r="G213" s="35">
        <f t="shared" si="8"/>
        <v>211</v>
      </c>
      <c r="H213" s="116" t="s">
        <v>708</v>
      </c>
      <c r="I213" s="55" t="s">
        <v>30</v>
      </c>
      <c r="J213" s="129" t="s">
        <v>254</v>
      </c>
      <c r="L213" s="154"/>
    </row>
    <row r="214" spans="1:12" ht="14.25" customHeight="1" x14ac:dyDescent="0.25">
      <c r="A214" s="1" t="s">
        <v>624</v>
      </c>
      <c r="B214" s="82" t="s">
        <v>258</v>
      </c>
      <c r="C214" s="18">
        <v>2</v>
      </c>
      <c r="D214" s="28" t="s">
        <v>66</v>
      </c>
      <c r="E214" s="18"/>
      <c r="F214" s="35">
        <f t="shared" si="9"/>
        <v>254</v>
      </c>
      <c r="G214" s="35">
        <f t="shared" si="8"/>
        <v>212</v>
      </c>
      <c r="H214" s="116" t="s">
        <v>709</v>
      </c>
      <c r="I214" s="29" t="s">
        <v>209</v>
      </c>
      <c r="J214" s="129" t="s">
        <v>254</v>
      </c>
      <c r="L214" s="154"/>
    </row>
    <row r="215" spans="1:12" ht="14.25" customHeight="1" x14ac:dyDescent="0.25">
      <c r="A215" s="1" t="s">
        <v>625</v>
      </c>
      <c r="B215" s="1" t="s">
        <v>265</v>
      </c>
      <c r="C215" s="18">
        <v>1</v>
      </c>
      <c r="D215" s="28" t="s">
        <v>29</v>
      </c>
      <c r="E215" s="24"/>
      <c r="F215" s="35">
        <f t="shared" si="9"/>
        <v>256</v>
      </c>
      <c r="G215" s="35">
        <f t="shared" si="8"/>
        <v>213</v>
      </c>
      <c r="H215" s="116" t="s">
        <v>708</v>
      </c>
      <c r="I215" s="55" t="s">
        <v>36</v>
      </c>
      <c r="J215" s="129" t="s">
        <v>254</v>
      </c>
      <c r="L215" s="154"/>
    </row>
    <row r="216" spans="1:12" ht="14.25" customHeight="1" x14ac:dyDescent="0.25">
      <c r="A216" s="1" t="s">
        <v>626</v>
      </c>
      <c r="B216" s="1" t="s">
        <v>265</v>
      </c>
      <c r="C216" s="18">
        <v>1</v>
      </c>
      <c r="D216" s="28" t="s">
        <v>29</v>
      </c>
      <c r="E216" s="24"/>
      <c r="F216" s="35">
        <f t="shared" si="9"/>
        <v>257</v>
      </c>
      <c r="G216" s="35">
        <f t="shared" si="8"/>
        <v>214</v>
      </c>
      <c r="H216" s="116" t="s">
        <v>708</v>
      </c>
      <c r="I216" s="55" t="s">
        <v>37</v>
      </c>
      <c r="J216" s="129" t="s">
        <v>254</v>
      </c>
      <c r="L216" s="154"/>
    </row>
    <row r="217" spans="1:12" ht="14.25" customHeight="1" x14ac:dyDescent="0.25">
      <c r="A217" s="1" t="s">
        <v>627</v>
      </c>
      <c r="B217" s="1" t="s">
        <v>265</v>
      </c>
      <c r="C217" s="18">
        <v>1</v>
      </c>
      <c r="D217" s="28" t="s">
        <v>29</v>
      </c>
      <c r="E217" s="24"/>
      <c r="F217" s="35">
        <f t="shared" si="9"/>
        <v>258</v>
      </c>
      <c r="G217" s="35">
        <f t="shared" si="8"/>
        <v>215</v>
      </c>
      <c r="H217" s="116" t="s">
        <v>708</v>
      </c>
      <c r="I217" s="55" t="s">
        <v>38</v>
      </c>
      <c r="J217" s="129" t="s">
        <v>254</v>
      </c>
      <c r="L217" s="154"/>
    </row>
    <row r="218" spans="1:12" ht="14.25" customHeight="1" x14ac:dyDescent="0.25">
      <c r="A218" s="1" t="s">
        <v>628</v>
      </c>
      <c r="B218" s="1" t="s">
        <v>265</v>
      </c>
      <c r="C218" s="18">
        <v>1</v>
      </c>
      <c r="D218" s="28" t="s">
        <v>29</v>
      </c>
      <c r="E218" s="24"/>
      <c r="F218" s="35">
        <f t="shared" si="9"/>
        <v>259</v>
      </c>
      <c r="G218" s="35">
        <f t="shared" si="8"/>
        <v>216</v>
      </c>
      <c r="H218" s="116" t="s">
        <v>708</v>
      </c>
      <c r="I218" s="55" t="s">
        <v>39</v>
      </c>
      <c r="J218" s="129" t="s">
        <v>254</v>
      </c>
      <c r="L218" s="154"/>
    </row>
    <row r="219" spans="1:12" ht="14.25" customHeight="1" x14ac:dyDescent="0.25">
      <c r="A219" s="26" t="s">
        <v>629</v>
      </c>
      <c r="B219" s="1" t="s">
        <v>265</v>
      </c>
      <c r="C219" s="18">
        <v>1</v>
      </c>
      <c r="D219" s="28" t="s">
        <v>29</v>
      </c>
      <c r="E219" s="24"/>
      <c r="F219" s="35">
        <f t="shared" si="9"/>
        <v>260</v>
      </c>
      <c r="G219" s="35">
        <f t="shared" si="8"/>
        <v>217</v>
      </c>
      <c r="H219" s="116" t="s">
        <v>708</v>
      </c>
      <c r="I219" s="55" t="s">
        <v>40</v>
      </c>
      <c r="J219" s="129" t="s">
        <v>254</v>
      </c>
      <c r="K219" s="23"/>
      <c r="L219" s="154"/>
    </row>
    <row r="220" spans="1:12" ht="14.25" customHeight="1" x14ac:dyDescent="0.25">
      <c r="A220" s="26" t="s">
        <v>630</v>
      </c>
      <c r="B220" s="1" t="s">
        <v>265</v>
      </c>
      <c r="C220" s="18">
        <v>1</v>
      </c>
      <c r="D220" s="28" t="s">
        <v>29</v>
      </c>
      <c r="E220" s="24"/>
      <c r="F220" s="35">
        <f t="shared" si="9"/>
        <v>261</v>
      </c>
      <c r="G220" s="35">
        <f t="shared" si="8"/>
        <v>218</v>
      </c>
      <c r="H220" s="116" t="s">
        <v>708</v>
      </c>
      <c r="I220" s="58" t="s">
        <v>0</v>
      </c>
      <c r="J220" s="129" t="s">
        <v>254</v>
      </c>
      <c r="K220" s="23"/>
      <c r="L220" s="154"/>
    </row>
    <row r="221" spans="1:12" ht="14.25" customHeight="1" x14ac:dyDescent="0.25">
      <c r="A221" s="26" t="s">
        <v>631</v>
      </c>
      <c r="B221" s="1" t="s">
        <v>265</v>
      </c>
      <c r="C221" s="18">
        <v>1</v>
      </c>
      <c r="D221" s="28" t="s">
        <v>29</v>
      </c>
      <c r="E221" s="24"/>
      <c r="F221" s="35">
        <f t="shared" si="9"/>
        <v>262</v>
      </c>
      <c r="G221" s="35">
        <f t="shared" si="8"/>
        <v>219</v>
      </c>
      <c r="H221" s="116" t="s">
        <v>708</v>
      </c>
      <c r="I221" s="58" t="s">
        <v>1</v>
      </c>
      <c r="J221" s="129" t="s">
        <v>254</v>
      </c>
      <c r="K221" s="23"/>
      <c r="L221" s="154"/>
    </row>
    <row r="222" spans="1:12" ht="14.25" customHeight="1" x14ac:dyDescent="0.25">
      <c r="A222" s="26" t="s">
        <v>632</v>
      </c>
      <c r="B222" s="1" t="s">
        <v>265</v>
      </c>
      <c r="C222" s="18">
        <v>1</v>
      </c>
      <c r="D222" s="28" t="s">
        <v>29</v>
      </c>
      <c r="E222" s="24"/>
      <c r="F222" s="35">
        <f t="shared" si="9"/>
        <v>263</v>
      </c>
      <c r="G222" s="35">
        <f t="shared" si="8"/>
        <v>220</v>
      </c>
      <c r="H222" s="116" t="s">
        <v>708</v>
      </c>
      <c r="I222" s="55" t="s">
        <v>43</v>
      </c>
      <c r="J222" s="129" t="s">
        <v>254</v>
      </c>
      <c r="K222" s="23"/>
      <c r="L222" s="154"/>
    </row>
    <row r="223" spans="1:12" s="4" customFormat="1" ht="14.25" customHeight="1" x14ac:dyDescent="0.25">
      <c r="A223" s="26" t="s">
        <v>633</v>
      </c>
      <c r="B223" s="82" t="s">
        <v>258</v>
      </c>
      <c r="C223" s="18">
        <v>2</v>
      </c>
      <c r="D223" s="28" t="s">
        <v>66</v>
      </c>
      <c r="E223" s="18"/>
      <c r="F223" s="35">
        <f t="shared" si="9"/>
        <v>264</v>
      </c>
      <c r="G223" s="35">
        <f t="shared" si="8"/>
        <v>221</v>
      </c>
      <c r="H223" s="116" t="s">
        <v>709</v>
      </c>
      <c r="I223" s="29" t="s">
        <v>210</v>
      </c>
      <c r="J223" s="129" t="s">
        <v>254</v>
      </c>
      <c r="K223" s="32"/>
      <c r="L223" s="154"/>
    </row>
    <row r="224" spans="1:12" s="4" customFormat="1" ht="14.25" customHeight="1" x14ac:dyDescent="0.25">
      <c r="A224" s="32" t="s">
        <v>634</v>
      </c>
      <c r="B224" s="1" t="s">
        <v>260</v>
      </c>
      <c r="C224" s="18">
        <v>1</v>
      </c>
      <c r="D224" s="28" t="s">
        <v>29</v>
      </c>
      <c r="E224" s="18"/>
      <c r="F224" s="35">
        <f t="shared" si="9"/>
        <v>266</v>
      </c>
      <c r="G224" s="35">
        <f t="shared" si="8"/>
        <v>222</v>
      </c>
      <c r="H224" s="116" t="s">
        <v>708</v>
      </c>
      <c r="I224" s="29" t="s">
        <v>249</v>
      </c>
      <c r="J224" s="129" t="s">
        <v>254</v>
      </c>
      <c r="K224" s="32"/>
      <c r="L224" s="154"/>
    </row>
    <row r="225" spans="1:12" s="4" customFormat="1" ht="14.25" customHeight="1" x14ac:dyDescent="0.25">
      <c r="A225" s="27" t="s">
        <v>635</v>
      </c>
      <c r="B225" s="82" t="s">
        <v>258</v>
      </c>
      <c r="C225" s="18">
        <v>2</v>
      </c>
      <c r="D225" s="28" t="s">
        <v>66</v>
      </c>
      <c r="E225" s="18"/>
      <c r="F225" s="35">
        <f t="shared" si="9"/>
        <v>267</v>
      </c>
      <c r="G225" s="35">
        <f t="shared" si="8"/>
        <v>223</v>
      </c>
      <c r="H225" s="116" t="s">
        <v>709</v>
      </c>
      <c r="I225" s="57" t="s">
        <v>250</v>
      </c>
      <c r="J225" s="129" t="s">
        <v>254</v>
      </c>
      <c r="L225" s="154"/>
    </row>
    <row r="226" spans="1:12" s="4" customFormat="1" ht="14.25" customHeight="1" x14ac:dyDescent="0.25">
      <c r="A226" s="26" t="s">
        <v>636</v>
      </c>
      <c r="B226" s="1" t="s">
        <v>260</v>
      </c>
      <c r="C226" s="18">
        <v>1</v>
      </c>
      <c r="D226" s="28" t="s">
        <v>29</v>
      </c>
      <c r="E226" s="18"/>
      <c r="F226" s="35">
        <f t="shared" si="9"/>
        <v>269</v>
      </c>
      <c r="G226" s="35">
        <f t="shared" si="8"/>
        <v>224</v>
      </c>
      <c r="H226" s="116" t="s">
        <v>708</v>
      </c>
      <c r="I226" s="29" t="s">
        <v>638</v>
      </c>
      <c r="J226" s="129" t="s">
        <v>254</v>
      </c>
      <c r="K226" s="32"/>
      <c r="L226" s="154"/>
    </row>
    <row r="227" spans="1:12" s="4" customFormat="1" ht="14.25" customHeight="1" x14ac:dyDescent="0.25">
      <c r="A227" s="33" t="s">
        <v>637</v>
      </c>
      <c r="B227" s="83" t="s">
        <v>266</v>
      </c>
      <c r="C227" s="30">
        <v>1</v>
      </c>
      <c r="D227" s="31" t="s">
        <v>29</v>
      </c>
      <c r="E227" s="30"/>
      <c r="F227" s="77">
        <f t="shared" si="9"/>
        <v>270</v>
      </c>
      <c r="G227" s="77">
        <f t="shared" si="8"/>
        <v>225</v>
      </c>
      <c r="H227" s="117" t="s">
        <v>708</v>
      </c>
      <c r="I227" s="54" t="s">
        <v>639</v>
      </c>
      <c r="J227" s="132" t="s">
        <v>254</v>
      </c>
      <c r="K227" s="34"/>
      <c r="L227" s="155"/>
    </row>
    <row r="228" spans="1:12" ht="14.25" customHeight="1" x14ac:dyDescent="0.25">
      <c r="A228" s="37" t="s">
        <v>667</v>
      </c>
      <c r="B228" s="38" t="s">
        <v>267</v>
      </c>
      <c r="C228" s="39">
        <v>1</v>
      </c>
      <c r="D228" s="40" t="s">
        <v>29</v>
      </c>
      <c r="E228" s="39"/>
      <c r="F228" s="35">
        <f t="shared" si="9"/>
        <v>271</v>
      </c>
      <c r="G228" s="35">
        <f t="shared" si="8"/>
        <v>226</v>
      </c>
      <c r="H228" s="116" t="s">
        <v>708</v>
      </c>
      <c r="I228" s="7" t="s">
        <v>672</v>
      </c>
      <c r="J228" s="129" t="s">
        <v>254</v>
      </c>
      <c r="K228" s="68"/>
      <c r="L228" s="153" t="s">
        <v>693</v>
      </c>
    </row>
    <row r="229" spans="1:12" ht="14.25" customHeight="1" x14ac:dyDescent="0.25">
      <c r="A229" s="23" t="s">
        <v>668</v>
      </c>
      <c r="B229" s="1" t="s">
        <v>188</v>
      </c>
      <c r="C229" s="24">
        <v>1</v>
      </c>
      <c r="D229" s="25" t="s">
        <v>29</v>
      </c>
      <c r="E229" s="24"/>
      <c r="F229" s="35">
        <f t="shared" si="9"/>
        <v>272</v>
      </c>
      <c r="G229" s="35">
        <f t="shared" si="8"/>
        <v>227</v>
      </c>
      <c r="H229" s="116" t="s">
        <v>708</v>
      </c>
      <c r="I229" s="7" t="s">
        <v>673</v>
      </c>
      <c r="J229" s="129" t="s">
        <v>254</v>
      </c>
      <c r="K229" s="68"/>
      <c r="L229" s="154"/>
    </row>
    <row r="230" spans="1:12" ht="14.25" customHeight="1" x14ac:dyDescent="0.25">
      <c r="A230" s="23" t="s">
        <v>669</v>
      </c>
      <c r="B230" s="1" t="s">
        <v>188</v>
      </c>
      <c r="C230" s="24">
        <v>1</v>
      </c>
      <c r="D230" s="25" t="s">
        <v>29</v>
      </c>
      <c r="E230" s="24"/>
      <c r="F230" s="35">
        <f t="shared" si="9"/>
        <v>273</v>
      </c>
      <c r="G230" s="35">
        <f t="shared" si="8"/>
        <v>228</v>
      </c>
      <c r="H230" s="116" t="s">
        <v>708</v>
      </c>
      <c r="I230" s="7" t="s">
        <v>674</v>
      </c>
      <c r="J230" s="129" t="s">
        <v>254</v>
      </c>
      <c r="K230" s="68"/>
      <c r="L230" s="154"/>
    </row>
    <row r="231" spans="1:12" ht="14.25" customHeight="1" x14ac:dyDescent="0.25">
      <c r="A231" s="23" t="s">
        <v>670</v>
      </c>
      <c r="B231" s="1" t="s">
        <v>188</v>
      </c>
      <c r="C231" s="24">
        <v>1</v>
      </c>
      <c r="D231" s="25" t="s">
        <v>29</v>
      </c>
      <c r="E231" s="24"/>
      <c r="F231" s="35">
        <f t="shared" si="9"/>
        <v>274</v>
      </c>
      <c r="G231" s="35">
        <f t="shared" si="8"/>
        <v>229</v>
      </c>
      <c r="H231" s="116" t="s">
        <v>708</v>
      </c>
      <c r="I231" s="7" t="s">
        <v>675</v>
      </c>
      <c r="J231" s="129" t="s">
        <v>254</v>
      </c>
      <c r="K231" s="68"/>
      <c r="L231" s="154"/>
    </row>
    <row r="232" spans="1:12" ht="13.2" x14ac:dyDescent="0.25">
      <c r="A232" s="41" t="s">
        <v>671</v>
      </c>
      <c r="B232" s="42" t="s">
        <v>188</v>
      </c>
      <c r="C232" s="36">
        <v>1</v>
      </c>
      <c r="D232" s="43" t="s">
        <v>29</v>
      </c>
      <c r="E232" s="36"/>
      <c r="F232" s="77">
        <f t="shared" si="9"/>
        <v>275</v>
      </c>
      <c r="G232" s="77">
        <f t="shared" si="8"/>
        <v>230</v>
      </c>
      <c r="H232" s="117" t="s">
        <v>708</v>
      </c>
      <c r="I232" s="7" t="s">
        <v>676</v>
      </c>
      <c r="J232" s="132" t="s">
        <v>254</v>
      </c>
      <c r="K232" s="71"/>
      <c r="L232" s="155"/>
    </row>
    <row r="233" spans="1:12" ht="12.75" customHeight="1" x14ac:dyDescent="0.25">
      <c r="A233" s="37" t="s">
        <v>681</v>
      </c>
      <c r="B233" s="1" t="s">
        <v>685</v>
      </c>
      <c r="C233" s="39">
        <v>1</v>
      </c>
      <c r="D233" s="40" t="s">
        <v>29</v>
      </c>
      <c r="E233" s="39"/>
      <c r="F233" s="35">
        <f t="shared" si="9"/>
        <v>276</v>
      </c>
      <c r="G233" s="35">
        <f t="shared" si="8"/>
        <v>231</v>
      </c>
      <c r="H233" s="116" t="s">
        <v>708</v>
      </c>
      <c r="I233" s="76" t="s">
        <v>683</v>
      </c>
      <c r="J233" s="129"/>
      <c r="K233" s="68"/>
      <c r="L233" s="153" t="s">
        <v>694</v>
      </c>
    </row>
    <row r="234" spans="1:12" ht="13.2" x14ac:dyDescent="0.25">
      <c r="A234" s="41" t="s">
        <v>682</v>
      </c>
      <c r="B234" s="42" t="s">
        <v>690</v>
      </c>
      <c r="C234" s="36">
        <v>1</v>
      </c>
      <c r="D234" s="36" t="s">
        <v>29</v>
      </c>
      <c r="E234" s="138"/>
      <c r="F234" s="77">
        <f t="shared" si="9"/>
        <v>277</v>
      </c>
      <c r="G234" s="77">
        <f t="shared" si="8"/>
        <v>232</v>
      </c>
      <c r="H234" s="117" t="s">
        <v>708</v>
      </c>
      <c r="I234" s="51" t="s">
        <v>684</v>
      </c>
      <c r="J234" s="132" t="s">
        <v>254</v>
      </c>
      <c r="K234" s="68"/>
      <c r="L234" s="155"/>
    </row>
    <row r="235" spans="1:12" ht="14.25" customHeight="1" x14ac:dyDescent="0.25">
      <c r="A235" s="74" t="s">
        <v>691</v>
      </c>
      <c r="B235" s="84"/>
      <c r="C235" s="127">
        <v>9</v>
      </c>
      <c r="D235" s="49" t="s">
        <v>66</v>
      </c>
      <c r="E235" s="139">
        <v>3</v>
      </c>
      <c r="F235" s="35">
        <f t="shared" si="9"/>
        <v>278</v>
      </c>
      <c r="G235" s="35">
        <f t="shared" si="8"/>
        <v>233</v>
      </c>
      <c r="H235" s="35"/>
      <c r="I235" s="79" t="s">
        <v>692</v>
      </c>
      <c r="J235" s="131"/>
      <c r="K235" s="38"/>
      <c r="L235" s="153" t="s">
        <v>255</v>
      </c>
    </row>
    <row r="236" spans="1:12" ht="14.25" customHeight="1" x14ac:dyDescent="0.25">
      <c r="A236" s="145" t="s">
        <v>181</v>
      </c>
      <c r="B236" s="1" t="s">
        <v>200</v>
      </c>
      <c r="C236" s="24">
        <v>1</v>
      </c>
      <c r="D236" s="24" t="s">
        <v>29</v>
      </c>
      <c r="E236" s="134"/>
      <c r="F236" s="35">
        <f t="shared" si="9"/>
        <v>287</v>
      </c>
      <c r="G236" s="35">
        <f>G235+1</f>
        <v>234</v>
      </c>
      <c r="H236" s="116" t="s">
        <v>708</v>
      </c>
      <c r="I236" s="56" t="s">
        <v>182</v>
      </c>
      <c r="J236" s="129"/>
      <c r="L236" s="154"/>
    </row>
    <row r="237" spans="1:12" ht="14.25" customHeight="1" x14ac:dyDescent="0.25">
      <c r="A237" s="143" t="s">
        <v>695</v>
      </c>
      <c r="B237" s="82" t="s">
        <v>258</v>
      </c>
      <c r="C237" s="128">
        <v>6</v>
      </c>
      <c r="D237" s="18" t="s">
        <v>66</v>
      </c>
      <c r="E237" s="140">
        <v>2</v>
      </c>
      <c r="F237" s="35">
        <f t="shared" si="9"/>
        <v>288</v>
      </c>
      <c r="G237" s="35">
        <f t="shared" si="8"/>
        <v>235</v>
      </c>
      <c r="H237" s="116" t="s">
        <v>709</v>
      </c>
      <c r="I237" s="57" t="s">
        <v>701</v>
      </c>
      <c r="J237" s="129" t="s">
        <v>254</v>
      </c>
      <c r="K237" s="27"/>
      <c r="L237" s="154"/>
    </row>
    <row r="238" spans="1:12" ht="14.25" customHeight="1" x14ac:dyDescent="0.25">
      <c r="A238" s="143" t="s">
        <v>696</v>
      </c>
      <c r="B238" s="82" t="s">
        <v>258</v>
      </c>
      <c r="C238" s="18">
        <v>2</v>
      </c>
      <c r="D238" s="18" t="s">
        <v>66</v>
      </c>
      <c r="E238" s="140"/>
      <c r="F238" s="35">
        <f t="shared" si="9"/>
        <v>294</v>
      </c>
      <c r="G238" s="35">
        <f t="shared" si="8"/>
        <v>236</v>
      </c>
      <c r="H238" s="116" t="s">
        <v>709</v>
      </c>
      <c r="I238" s="57" t="s">
        <v>702</v>
      </c>
      <c r="J238" s="129" t="s">
        <v>254</v>
      </c>
      <c r="K238" s="27"/>
      <c r="L238" s="154"/>
    </row>
    <row r="239" spans="1:12" ht="14.25" customHeight="1" x14ac:dyDescent="0.25">
      <c r="A239" s="143" t="s">
        <v>697</v>
      </c>
      <c r="B239" s="82" t="s">
        <v>258</v>
      </c>
      <c r="C239" s="18">
        <v>2</v>
      </c>
      <c r="D239" s="18" t="s">
        <v>66</v>
      </c>
      <c r="E239" s="140"/>
      <c r="F239" s="35">
        <f t="shared" si="9"/>
        <v>296</v>
      </c>
      <c r="G239" s="35">
        <f t="shared" ref="G239:G242" si="10">G238+1</f>
        <v>237</v>
      </c>
      <c r="H239" s="116" t="s">
        <v>709</v>
      </c>
      <c r="I239" s="57" t="s">
        <v>703</v>
      </c>
      <c r="J239" s="129" t="s">
        <v>254</v>
      </c>
      <c r="K239" s="27"/>
      <c r="L239" s="154"/>
    </row>
    <row r="240" spans="1:12" ht="14.25" customHeight="1" x14ac:dyDescent="0.25">
      <c r="A240" s="151" t="s">
        <v>698</v>
      </c>
      <c r="B240" s="82" t="s">
        <v>258</v>
      </c>
      <c r="C240" s="18">
        <v>2</v>
      </c>
      <c r="D240" s="18" t="s">
        <v>66</v>
      </c>
      <c r="E240" s="140"/>
      <c r="F240" s="35">
        <f t="shared" si="9"/>
        <v>298</v>
      </c>
      <c r="G240" s="35">
        <f t="shared" si="10"/>
        <v>238</v>
      </c>
      <c r="H240" s="116" t="s">
        <v>709</v>
      </c>
      <c r="I240" s="57" t="s">
        <v>704</v>
      </c>
      <c r="J240" s="129" t="s">
        <v>254</v>
      </c>
      <c r="K240" s="27"/>
      <c r="L240" s="154"/>
    </row>
    <row r="241" spans="1:12" ht="14.25" customHeight="1" x14ac:dyDescent="0.25">
      <c r="A241" s="149" t="s">
        <v>699</v>
      </c>
      <c r="B241" s="82" t="s">
        <v>258</v>
      </c>
      <c r="C241" s="18">
        <v>2</v>
      </c>
      <c r="D241" s="18" t="s">
        <v>66</v>
      </c>
      <c r="E241" s="140"/>
      <c r="F241" s="35">
        <f t="shared" si="9"/>
        <v>300</v>
      </c>
      <c r="G241" s="35">
        <f t="shared" si="10"/>
        <v>239</v>
      </c>
      <c r="H241" s="116" t="s">
        <v>709</v>
      </c>
      <c r="I241" s="15" t="s">
        <v>705</v>
      </c>
      <c r="J241" s="129" t="s">
        <v>254</v>
      </c>
      <c r="K241" s="57"/>
      <c r="L241" s="154"/>
    </row>
    <row r="242" spans="1:12" ht="14.25" customHeight="1" x14ac:dyDescent="0.25">
      <c r="A242" s="152" t="s">
        <v>700</v>
      </c>
      <c r="B242" s="83" t="s">
        <v>258</v>
      </c>
      <c r="C242" s="30">
        <v>2</v>
      </c>
      <c r="D242" s="30" t="s">
        <v>66</v>
      </c>
      <c r="E242" s="141"/>
      <c r="F242" s="77">
        <f t="shared" si="9"/>
        <v>302</v>
      </c>
      <c r="G242" s="77">
        <f t="shared" si="10"/>
        <v>240</v>
      </c>
      <c r="H242" s="117" t="s">
        <v>709</v>
      </c>
      <c r="I242" s="78" t="s">
        <v>706</v>
      </c>
      <c r="J242" s="132" t="s">
        <v>254</v>
      </c>
      <c r="K242" s="42"/>
      <c r="L242" s="155"/>
    </row>
    <row r="243" spans="1:12" ht="23.25" customHeight="1" x14ac:dyDescent="0.3">
      <c r="A243" s="5" t="s">
        <v>707</v>
      </c>
      <c r="C243" s="19">
        <f>SUM(C3:C242)</f>
        <v>303</v>
      </c>
      <c r="J243" s="137"/>
      <c r="K243" s="20"/>
      <c r="L243" s="20"/>
    </row>
    <row r="244" spans="1:12" ht="14.25" customHeight="1" x14ac:dyDescent="0.25">
      <c r="J244" s="137"/>
      <c r="K244" s="20"/>
      <c r="L244" s="20"/>
    </row>
    <row r="245" spans="1:12" s="20" customFormat="1" ht="21" customHeight="1" x14ac:dyDescent="0.25">
      <c r="A245" s="22" t="s">
        <v>212</v>
      </c>
      <c r="I245" s="52"/>
      <c r="J245" s="24"/>
      <c r="K245" s="1"/>
      <c r="L245" s="1"/>
    </row>
    <row r="246" spans="1:12" s="20" customFormat="1" ht="12" customHeight="1" x14ac:dyDescent="0.25">
      <c r="A246" s="21"/>
      <c r="I246" s="52"/>
      <c r="J246" s="24"/>
      <c r="K246" s="1"/>
      <c r="L246" s="1"/>
    </row>
  </sheetData>
  <mergeCells count="17">
    <mergeCell ref="L181:L186"/>
    <mergeCell ref="L187:L227"/>
    <mergeCell ref="L228:L232"/>
    <mergeCell ref="L233:L234"/>
    <mergeCell ref="L235:L242"/>
    <mergeCell ref="L178:L180"/>
    <mergeCell ref="A1:K1"/>
    <mergeCell ref="L3:L7"/>
    <mergeCell ref="L8:L12"/>
    <mergeCell ref="L13:L27"/>
    <mergeCell ref="L28:L34"/>
    <mergeCell ref="L35:L64"/>
    <mergeCell ref="L65:L76"/>
    <mergeCell ref="L77:L114"/>
    <mergeCell ref="L115:L140"/>
    <mergeCell ref="L141:L171"/>
    <mergeCell ref="L172:L177"/>
  </mergeCells>
  <phoneticPr fontId="21" type="noConversion"/>
  <hyperlinks>
    <hyperlink ref="H3" location="'Tablas1'!$A$5" display="Tablas1" xr:uid="{9D199ABD-1124-4CCB-97C4-87FE2F24948F}"/>
    <hyperlink ref="H6" location="'Tablas1'!$A$27" display="Tablas1" xr:uid="{70ECE0D5-CE06-4AA4-B67E-2CC6B398418B}"/>
    <hyperlink ref="H7" location="'Tablas2'!$A$9" display="Tablas2" xr:uid="{4C48ECA8-EA96-40F6-8A4B-D0D98C38D2CF}"/>
    <hyperlink ref="H8" location="'Tablas1'!$A$32" display="Tablas1" xr:uid="{D87CA4A2-BF87-4A53-9EAD-5B67E7A13BBE}"/>
    <hyperlink ref="H10" location="'Tablas2'!$A$5" display="Tablas2" xr:uid="{C3348D59-98CE-455C-A356-6CBFE84DC6CB}"/>
    <hyperlink ref="H11" location="'Tablas1'!$A$27" display="Tablas1" xr:uid="{9049D8B5-F1A0-4A60-8FBF-284BED1C72FE}"/>
    <hyperlink ref="H12" location="'Tablas1'!$A$43" display="Tablas1" xr:uid="{19C4366C-8338-4C40-8A1C-4E93E45D69AA}"/>
    <hyperlink ref="H13" location="'Tablas1'!$A$54" display="Tablas1" xr:uid="{C297426D-41F7-478D-9321-3642FEA8D4AB}"/>
    <hyperlink ref="H14" location="'Tablas1'!$A$54" display="Tablas1" xr:uid="{36E69BD3-0555-4838-AC58-C210FC3E77A3}"/>
    <hyperlink ref="H15" location="'Tablas1'!$A$54" display="Tablas1" xr:uid="{1E79041D-21FB-450C-A033-526F7602D3EA}"/>
    <hyperlink ref="H16" location="'Tablas1'!$A$54" display="Tablas1" xr:uid="{EE51DCBB-9234-4FE4-BCB7-9D51BB69752B}"/>
    <hyperlink ref="H17" location="'Tablas1'!$A$54" display="Tablas1" xr:uid="{C8E9EAE5-06C3-42AC-AB83-2629F2399AB7}"/>
    <hyperlink ref="H18" location="'Tablas1'!$A$54" display="Tablas1" xr:uid="{C25F6129-73CE-42C7-B78A-CA6D7EFE7FFC}"/>
    <hyperlink ref="H19" location="'Tablas1'!$A$54" display="Tablas1" xr:uid="{70C07A25-C6D3-453D-B8B0-47B0F01C8DCC}"/>
    <hyperlink ref="H20" location="'Tablas1'!$A$54" display="Tablas1" xr:uid="{0DDEC4FB-4403-431C-973A-2737494972E3}"/>
    <hyperlink ref="H21" location="'Tablas1'!$A$54" display="Tablas1" xr:uid="{301E779F-05A0-4C83-9173-9B5EF2D46CE3}"/>
    <hyperlink ref="H22" location="'Tablas1'!$A$54" display="Tablas1" xr:uid="{97116013-689D-4D89-8C73-6511002B7A8B}"/>
    <hyperlink ref="H23" location="'Tablas1'!$A$54" display="Tablas1" xr:uid="{961E8405-E392-4EDB-A710-817B24F5A7B5}"/>
    <hyperlink ref="H24" location="'Tablas1'!$A$54" display="Tablas1" xr:uid="{AB91B041-82F6-4B2A-BEF3-0DF41A8F3C44}"/>
    <hyperlink ref="H25" location="'Tablas1'!$A$54" display="Tablas1" xr:uid="{AAC2CA03-7FC9-45F9-895A-F2BEA66B7B16}"/>
    <hyperlink ref="H26" location="'Tablas1'!$A$54" display="Tablas1" xr:uid="{02F577DA-EDA3-4DC2-B46C-00C19FA286B4}"/>
    <hyperlink ref="H27" location="'Tablas1'!$A$54" display="Tablas1" xr:uid="{BB771B6D-8CF0-4684-96F4-84EBC9538BB4}"/>
    <hyperlink ref="H28" location="'Tablas1'!$A$64" display="Tablas1" xr:uid="{D0437047-77CE-439A-B452-72E17156AF6E}"/>
    <hyperlink ref="H29" location="'Tablas1'!$A$64" display="Tablas1" xr:uid="{95A035D8-38DF-46DE-AB9E-B6CC11341667}"/>
    <hyperlink ref="H30" location="'Tablas1'!$A$64" display="Tablas1" xr:uid="{FF5E45E0-A5AD-48E9-BDA3-7455BBF2F643}"/>
    <hyperlink ref="H31" location="'Tablas1'!$A$32" display="Tablas1" xr:uid="{390D57F2-93C8-45E2-978B-CB993BB0CF53}"/>
    <hyperlink ref="H32" location="'Tablas1'!$A$32" display="Tablas1" xr:uid="{EFDF4866-916F-4B1A-A5B0-86F3AEFE5A92}"/>
    <hyperlink ref="H33" location="'Tablas1'!$A$32" display="Tablas1" xr:uid="{DB9EF168-FB93-40C5-85FB-08EF37232DD9}"/>
    <hyperlink ref="H34" location="'Tablas2'!$A$9" display="Tablas2" xr:uid="{A8D5CC56-A9C5-4F1F-A595-03E4A61B5BF7}"/>
    <hyperlink ref="H35" location="'Tablas1'!$A$70" display="Tablas1" xr:uid="{0CBCBD1D-87A0-4310-B79D-04246E745576}"/>
    <hyperlink ref="H36" location="'Tablas1'!$A$37" display="Tablas1" xr:uid="{15C13262-A20B-4ADA-9EC0-7EE31F998290}"/>
    <hyperlink ref="H37" location="'Tablas1'!$A$37" display="Tablas1" xr:uid="{79537615-F458-49ED-810A-BE63B7D85E18}"/>
    <hyperlink ref="H38" location="'Tablas1'!$A$37" display="Tablas1" xr:uid="{45AD3FC3-A85E-4866-844A-64578AD93A25}"/>
    <hyperlink ref="H39" location="'Tablas1'!$A$37" display="Tablas1" xr:uid="{A870FE8A-E563-41E4-B39A-AA744ED3374C}"/>
    <hyperlink ref="H40" location="'Tablas1'!$A$37" display="Tablas1" xr:uid="{6BD376D4-F15D-43C5-9EDB-9A4BFFB70753}"/>
    <hyperlink ref="H41" location="'Tablas1'!$A$37" display="Tablas1" xr:uid="{C3EC890E-119C-4E8A-B15C-F7B83FE9FD99}"/>
    <hyperlink ref="H42" location="'Tablas1'!$A$37" display="Tablas1" xr:uid="{468A5E7E-AC55-4925-92F5-6BC76A6AE561}"/>
    <hyperlink ref="H43" location="'Tablas1'!$A$37" display="Tablas1" xr:uid="{9DE4FA64-C0BD-47C7-BC06-BDD1E726AD16}"/>
    <hyperlink ref="H44" location="'Tablas1'!$A$37" display="Tablas1" xr:uid="{1535ADC9-1150-4BFF-8A6A-AA3495EE268F}"/>
    <hyperlink ref="H45" location="'Tablas1'!$A$37" display="Tablas1" xr:uid="{F629066C-432F-454E-92E8-CE5779C905B2}"/>
    <hyperlink ref="H46" location="'Tablas1'!$A$37" display="Tablas1" xr:uid="{1BCFB0D2-A460-43FA-8219-95360359D051}"/>
    <hyperlink ref="H47" location="'Tablas1'!$A$37" display="Tablas1" xr:uid="{76B9D79F-87A3-4C3C-B0C2-B485A7C795B1}"/>
    <hyperlink ref="H48" location="'Tablas1'!$A$37" display="Tablas1" xr:uid="{4DDA25C6-64F7-46F5-8D4A-BA16BD7E6874}"/>
    <hyperlink ref="H49" location="'Tablas1'!$A$37" display="Tablas1" xr:uid="{1A4243EB-E669-4B15-927A-0B89D4B5763B}"/>
    <hyperlink ref="H50" location="'Tablas1'!$A$37" display="Tablas1" xr:uid="{273018D9-A219-40A8-AFAA-E7C9E2DE416A}"/>
    <hyperlink ref="H51" location="'Tablas1'!$A$37" display="Tablas1" xr:uid="{EDA07F64-1073-4C2E-95FB-727A4A686F06}"/>
    <hyperlink ref="H52" location="'Tablas1'!$A$37" display="Tablas1" xr:uid="{9D70E393-AA0E-4874-9822-B0BCA04B3E1F}"/>
    <hyperlink ref="H53" location="'Tablas1'!$A$37" display="Tablas1" xr:uid="{1E6D7AA2-EB31-4AD3-B709-1BE054B3B5FD}"/>
    <hyperlink ref="H54" location="'Tablas1'!$A$37" display="Tablas1" xr:uid="{E01A2EC9-EBCF-4C58-8DA0-D63C674BD58B}"/>
    <hyperlink ref="H55" location="'Tablas1'!$A$37" display="Tablas1" xr:uid="{D87DEBB9-5EC9-4DE7-B6C8-FA6898FDF2EF}"/>
    <hyperlink ref="H56" location="'Tablas1'!$A$37" display="Tablas1" xr:uid="{EEC34783-79C6-4DE0-849B-0BF0A5A2F31F}"/>
    <hyperlink ref="H57" location="'Tablas1'!$A$37" display="Tablas1" xr:uid="{F7FA2277-1525-4B81-95F9-9A4354AF3F03}"/>
    <hyperlink ref="H58" location="'Tablas1'!$A$37" display="Tablas1" xr:uid="{6B8C5B30-B7A4-43C4-820A-C8EA5191953A}"/>
    <hyperlink ref="H59" location="'Tablas1'!$A$37" display="Tablas1" xr:uid="{2D7917A2-9081-44B8-A57B-FC78DE82CDB7}"/>
    <hyperlink ref="H60" location="'Tablas1'!$A$37" display="Tablas1" xr:uid="{2D5FB453-33BE-4B42-87FD-FE333D9364B3}"/>
    <hyperlink ref="H61" location="'Tablas1'!$A$37" display="Tablas1" xr:uid="{72C1F5E7-AE84-43A3-A7CA-DA688B3ECF5F}"/>
    <hyperlink ref="H62" location="'Tablas1'!$A$37" display="Tablas1" xr:uid="{2E8AF37C-9EAE-4F7F-AAC2-23471BA329DC}"/>
    <hyperlink ref="H63" location="'Tablas1'!$A$78" display="Tablas1" xr:uid="{9F117F60-DE48-466D-861F-42EA6EAA3BC7}"/>
    <hyperlink ref="H64" location="'Tablas1'!$A$85" display="Tablas1" xr:uid="{950F63AB-714D-458A-8028-B2EAAA231921}"/>
    <hyperlink ref="H65" location="'Tablas1'!$A$37" display="Tablas1" xr:uid="{351E40DD-04AC-47BD-92CC-93843713EDF3}"/>
    <hyperlink ref="H66" location="'Tablas1'!$A$37" display="Tablas1" xr:uid="{EFE368D9-5A66-4E79-82D2-EF3C3F68728B}"/>
    <hyperlink ref="H67" location="'Tablas1'!$A$37" display="Tablas1" xr:uid="{0E6390B0-4B30-444C-9312-B98326C15A40}"/>
    <hyperlink ref="H68" location="'Tablas1'!$A$37" display="Tablas1" xr:uid="{7825C3B4-6086-4B95-9FCE-309023A2E583}"/>
    <hyperlink ref="H69" location="'Tablas1'!$A$92" display="Tablas1" xr:uid="{6532E4FE-4557-4E4A-A4FB-EE146F83E33B}"/>
    <hyperlink ref="H70" location="'Tablas1'!$A$32" display="Tablas1" xr:uid="{AD31F16B-1BA0-4131-99A5-FC778BEA78B9}"/>
    <hyperlink ref="H71" location="'Tablas1'!$A$32" display="Tablas1" xr:uid="{BA9F8E4D-5A2A-4F5A-ABF0-E246B0367D64}"/>
    <hyperlink ref="H72" location="'Tablas1'!$A$32" display="Tablas1" xr:uid="{253069FF-4A4E-47E3-81A1-1D3DB8B3DBEB}"/>
    <hyperlink ref="H73" location="'Tablas1'!$A$32" display="Tablas1" xr:uid="{3E1B4978-75C2-48D4-9663-C5A657EB3784}"/>
    <hyperlink ref="H74" location="'Tablas1'!$A$32" display="Tablas1" xr:uid="{3BF62803-0399-4A18-AD65-C5CA9995FB43}"/>
    <hyperlink ref="H75" location="'Tablas1'!$A$32" display="Tablas1" xr:uid="{51994C54-6E32-41BA-B6D3-91B1060A719E}"/>
    <hyperlink ref="H76" location="'Tablas1'!$A$32" display="Tablas1" xr:uid="{67B19DC9-8213-4F88-9A23-C281166E60DD}"/>
    <hyperlink ref="H77" location="'Tablas1'!$A$100" display="Tablas1" xr:uid="{D22DFC3D-CA40-44F2-B9A0-502DB240EC80}"/>
    <hyperlink ref="H78" location="'Tablas2'!$A$9" display="Tablas2" xr:uid="{B9364C88-34D2-456E-AA49-EFB55C4A0D9D}"/>
    <hyperlink ref="H79" location="'Tablas1'!$A$107" display="Tablas1" xr:uid="{EA6B0A16-EEF5-4F15-93BD-133FBA1CC2E7}"/>
    <hyperlink ref="H80" location="'Tablas2'!$A$9" display="Tablas2" xr:uid="{5321E626-8737-4467-A1F0-8EAB4BA5E4CE}"/>
    <hyperlink ref="H81" location="'Tablas1'!$A$115" display="Tablas1" xr:uid="{9603497B-8419-4BC5-90A4-C7C04CB0CFFE}"/>
    <hyperlink ref="H82" location="'Tablas1'!$A$122" display="Tablas1" xr:uid="{29128004-3124-469A-BAB5-97EB9CC62549}"/>
    <hyperlink ref="H83" location="'Tablas1'!$A$137" display="Tablas1" xr:uid="{FB5BB89E-9A42-4794-B7BE-79B9C2B96D5A}"/>
    <hyperlink ref="H84" location="'Tablas1'!$A$145" display="Tablas1" xr:uid="{2BB192EC-FEDF-46A2-93F0-461EE5449619}"/>
    <hyperlink ref="H85" location="'Tablas1'!$A$37" display="Tablas1" xr:uid="{682A104C-424E-4DA9-8067-DDC68A659ABA}"/>
    <hyperlink ref="H86" location="'Tablas1'!$A$37" display="Tablas1" xr:uid="{2A7DD78E-BF5B-42B7-B7C3-396B685D19D5}"/>
    <hyperlink ref="H87" location="'Tablas1'!$A$37" display="Tablas1" xr:uid="{00F6E830-9EFC-415F-82A9-4EE76CC709BD}"/>
    <hyperlink ref="H88" location="'Tablas1'!$A$37" display="Tablas1" xr:uid="{7CAA9519-1502-4473-B2A1-41376A1D9FD5}"/>
    <hyperlink ref="H89" location="'Tablas1'!$A$37" display="Tablas1" xr:uid="{91242332-7DBF-47A1-99D4-2658D1FAEF18}"/>
    <hyperlink ref="H90" location="'Tablas1'!$A$37" display="Tablas1" xr:uid="{068CD115-84BF-457C-9A8B-1907BF0C8501}"/>
    <hyperlink ref="H91" location="'Tablas1'!$A$37" display="Tablas1" xr:uid="{BFBEBD50-B7FB-454E-A9A5-999DAA016856}"/>
    <hyperlink ref="H92" location="'Tablas1'!$A$37" display="Tablas1" xr:uid="{1C3AA1D2-8BFE-4681-A7DB-4F1815CD0659}"/>
    <hyperlink ref="H93" location="'Tablas1'!$A$37" display="Tablas1" xr:uid="{3DA079CD-95A5-4E8C-AE24-791BC37E3302}"/>
    <hyperlink ref="H94" location="'Tablas1'!$A$37" display="Tablas1" xr:uid="{A73BCE73-2464-4136-94C5-CFC77176C765}"/>
    <hyperlink ref="H95" location="'Tablas1'!$A$37" display="Tablas1" xr:uid="{F82D619B-FBF9-4EC6-8801-046770D90FB5}"/>
    <hyperlink ref="H96" location="'Tablas1'!$A$37" display="Tablas1" xr:uid="{9FBC6F87-175F-4D95-9C0F-60C84854F1DA}"/>
    <hyperlink ref="H97" location="'Tablas1'!$A$153" display="Tablas1" xr:uid="{E36B8397-A88E-4769-825D-0849ADC3639A}"/>
    <hyperlink ref="H98" location="'Tablas2'!$A$9" display="Tablas2" xr:uid="{40DB898D-8754-404E-8315-EB4DFB2CBAAD}"/>
    <hyperlink ref="H99" location="'Tablas1'!$A$37" display="Tablas1" xr:uid="{F3AF1E46-C5F9-408A-B52D-9FD35B471E3F}"/>
    <hyperlink ref="H100" location="'Tablas1'!$A$37" display="Tablas1" xr:uid="{1722E418-88A6-4A52-966C-AF5208B1CACD}"/>
    <hyperlink ref="H101" location="'Tablas1'!$A$37" display="Tablas1" xr:uid="{80D4347E-5B20-404A-9C43-1B6B351CCE7D}"/>
    <hyperlink ref="H102" location="'Tablas1'!$A$37" display="Tablas1" xr:uid="{10D4E54D-688B-43DA-9BEF-DBCF256D160D}"/>
    <hyperlink ref="H103" location="'Tablas1'!$A$37" display="Tablas1" xr:uid="{F6BC9513-1280-4DB2-83B5-B5BE7EE6AD58}"/>
    <hyperlink ref="H104" location="'Tablas1'!$A$37" display="Tablas1" xr:uid="{DF88833A-F21F-4766-A815-43B07FAA3713}"/>
    <hyperlink ref="H105" location="'Tablas1'!$A$37" display="Tablas1" xr:uid="{B11D59BC-70B2-4C3B-B202-2CF9CEEF486E}"/>
    <hyperlink ref="H106" location="'Tablas1'!$A$37" display="Tablas1" xr:uid="{F8468990-7419-409B-BC5F-33BD1A233B81}"/>
    <hyperlink ref="H107" location="'Tablas1'!$A$37" display="Tablas1" xr:uid="{3210A9AE-1ECF-41A1-86CC-4246B86F7157}"/>
    <hyperlink ref="H108" location="'Tablas1'!$A$160" display="Tablas1" xr:uid="{EF448109-C5F7-4DFF-ABFE-6A9976093FD7}"/>
    <hyperlink ref="H109" location="'Tablas1'!$A$37" display="Tablas1" xr:uid="{F4BE0D31-C466-446B-B496-26206C6111D9}"/>
    <hyperlink ref="H110" location="'Tablas1'!$A$37" display="Tablas1" xr:uid="{D6D8A68B-C2C4-412A-BBFC-56BB41C33FCA}"/>
    <hyperlink ref="H111" location="'Tablas1'!$A$37" display="Tablas1" xr:uid="{935DD4D8-6BF2-47AD-8E90-62949080D72C}"/>
    <hyperlink ref="H112" location="'Tablas1'!$A$37" display="Tablas1" xr:uid="{2D93C0DC-E804-4AA8-B6C8-DDD326A21D91}"/>
    <hyperlink ref="H113" location="'Tablas1'!$A$37" display="Tablas1" xr:uid="{473469A7-58FE-45D7-9B21-2A3EA94C14F3}"/>
    <hyperlink ref="H114" location="'Tablas1'!$A$37" display="Tablas1" xr:uid="{C77FB1C1-9F14-404B-BE1C-3146D89196D1}"/>
    <hyperlink ref="H115" location="'Tablas1'!$A$32" display="Tablas1" xr:uid="{E6E37DD7-DD9A-4B2D-9EBF-7202201588C5}"/>
    <hyperlink ref="H116" location="'Tablas2'!$A$9" display="Tablas2" xr:uid="{3B87FDE0-CBD8-4671-B7CA-1727951E337A}"/>
    <hyperlink ref="H117" location="'Tablas2'!$A$5" display="Tablas2" xr:uid="{694BC090-3B0C-4406-8475-938014FE20E9}"/>
    <hyperlink ref="H118" location="'Tablas1'!$A$168" display="Tablas1" xr:uid="{26F37C3B-4337-4167-A9FF-43D8053990EE}"/>
    <hyperlink ref="H119" location="'Tablas1'!$A$176" display="Tablas1" xr:uid="{704F9DA1-2C90-44F9-88F7-D15AB1010D72}"/>
    <hyperlink ref="H120" location="'Tablas1'!$A$37" display="Tablas1" xr:uid="{F7D56140-36F4-4E89-86CD-8703F341678C}"/>
    <hyperlink ref="H121" location="'Tablas2'!$A$5" display="Tablas2" xr:uid="{22C57FF8-C349-41CA-9BCB-FAC147826115}"/>
    <hyperlink ref="H122" location="'Tablas1'!$A$32" display="Tablas1" xr:uid="{281F762E-0DA9-481F-B924-4BD9AC127C25}"/>
    <hyperlink ref="H123" location="'Tablas2'!$A$5" display="Tablas2" xr:uid="{3AE0ECB1-806F-417F-AAD9-E7B1A80D3D05}"/>
    <hyperlink ref="H124" location="'Tablas1'!$A$37" display="Tablas1" xr:uid="{7FC7C942-03CB-4267-82B0-A1BF9DEDBA94}"/>
    <hyperlink ref="H125" location="'Tablas1'!$A$37" display="Tablas1" xr:uid="{490D5031-5AF9-47C6-A06E-390B49A65009}"/>
    <hyperlink ref="H126" location="'Tablas1'!$A$37" display="Tablas1" xr:uid="{50C59759-5DE4-4CDE-8B8A-E7BCD0479B5D}"/>
    <hyperlink ref="H127" location="'Tablas2'!$A$9" display="Tablas2" xr:uid="{7FB5EDD3-2BF8-4FA5-B951-DB603566B847}"/>
    <hyperlink ref="H128" location="'Tablas2'!$A$9" display="Tablas2" xr:uid="{655C91AB-5901-4B99-9E14-FF0E9BDD2E5C}"/>
    <hyperlink ref="H129" location="'Tablas2'!$A$9" display="Tablas2" xr:uid="{47492682-84F2-462F-B166-2403C22996C7}"/>
    <hyperlink ref="H130" location="'Tablas2'!$A$9" display="Tablas2" xr:uid="{7B26EBFC-FB48-4570-B4EA-4CDC3B759579}"/>
    <hyperlink ref="H131" location="'Tablas2'!$A$9" display="Tablas2" xr:uid="{B6AED006-22A7-43F1-9883-A2876FB71352}"/>
    <hyperlink ref="H132" location="'Tablas1'!$A$185" display="Tablas1" xr:uid="{BD5912EF-FA4C-439F-BFE1-3B9B642027B0}"/>
    <hyperlink ref="H133" location="'Tablas1'!$A$32" display="Tablas1" xr:uid="{24007672-F2EB-4B78-B7BE-A41A8AC64E08}"/>
    <hyperlink ref="H134" location="'Tablas1'!$A$32" display="Tablas1" xr:uid="{7FE9BA09-1D78-4198-992E-D7B9E4F69A32}"/>
    <hyperlink ref="H135" location="'Tablas1'!$A$32" display="Tablas1" xr:uid="{1403C01F-DE83-4CDC-9789-57FEDBEED5B5}"/>
    <hyperlink ref="H136" location="'Tablas1'!$A$32" display="Tablas1" xr:uid="{F1EE9E9A-9570-4268-BD83-A5AE7F3DA281}"/>
    <hyperlink ref="H137" location="'Tablas1'!$A$32" display="Tablas1" xr:uid="{CC07824A-5C5C-4F22-9D35-228381DE9ED1}"/>
    <hyperlink ref="H138" location="'Tablas1'!$A$32" display="Tablas1" xr:uid="{6A0A7F56-82FA-40BE-80C9-9A82EF24B429}"/>
    <hyperlink ref="H139" location="'Tablas1'!$A$32" display="Tablas1" xr:uid="{E924A7B0-D903-4C03-9916-834FAC7FA98C}"/>
    <hyperlink ref="H140" location="'Tablas1'!$A$32" display="Tablas1" xr:uid="{B92BA438-67EC-4FD1-92AA-997EA6C6309C}"/>
    <hyperlink ref="H141" location="'Tablas1'!$A$32" display="Tablas1" xr:uid="{FFAF3998-5CEC-4002-B9D1-D88B87BB442B}"/>
    <hyperlink ref="H142" location="'Tablas1'!$A$37" display="Tablas1" xr:uid="{752B7750-D8E1-4FF8-A306-DF6690E0DA0B}"/>
    <hyperlink ref="H143" location="'Tablas1'!$A$37" display="Tablas1" xr:uid="{8B5F59C1-D92F-4BE6-8D3B-F11998D16DD3}"/>
    <hyperlink ref="H144" location="'Tablas1'!$A$37" display="Tablas1" xr:uid="{4F24BB33-90FF-46D6-90A3-0D0E891800FC}"/>
    <hyperlink ref="H145" location="'Tablas1'!$A$37" display="Tablas1" xr:uid="{CFD9CBE6-69CD-4DD7-B0EA-ACC058617C0E}"/>
    <hyperlink ref="H146" location="'Tablas1'!$A$37" display="Tablas1" xr:uid="{E6904ECF-C31D-4AD9-A978-6DE6D61F793C}"/>
    <hyperlink ref="H147" location="'Tablas1'!$A$37" display="Tablas1" xr:uid="{A61B31F5-01D6-4FF2-9B87-785C0CEDCE47}"/>
    <hyperlink ref="H148" location="'Tablas1'!$A$37" display="Tablas1" xr:uid="{E66F9763-97D1-4427-808A-FA554C4637A1}"/>
    <hyperlink ref="H149" location="'Tablas1'!$A$37" display="Tablas1" xr:uid="{757B094C-9AA7-4883-BCF2-35328D8444D5}"/>
    <hyperlink ref="H150" location="'Tablas1'!$A$37" display="Tablas1" xr:uid="{EA8844F9-F272-4793-95DA-5270512CDB8A}"/>
    <hyperlink ref="H151" location="'Tablas1'!$A$37" display="Tablas1" xr:uid="{04E3A2D3-DBC5-437E-90F2-DF39396F2D28}"/>
    <hyperlink ref="H152" location="'Tablas1'!$A$37" display="Tablas1" xr:uid="{A9D98396-A443-4007-8879-FDD8C08BFB15}"/>
    <hyperlink ref="H153" location="'Tablas1'!$A$37" display="Tablas1" xr:uid="{330889A1-835A-40B0-8608-A07097763347}"/>
    <hyperlink ref="H154" location="'Tablas1'!$A$37" display="Tablas1" xr:uid="{2DCED418-3195-4C2B-980B-BE51746A03AF}"/>
    <hyperlink ref="H155" location="'Tablas1'!$A$37" display="Tablas1" xr:uid="{6B236287-5629-4D00-B006-2F2B5103EF37}"/>
    <hyperlink ref="H156" location="'Tablas1'!$A$37" display="Tablas1" xr:uid="{A106DA34-07A3-419E-8A08-76D0BAC37A36}"/>
    <hyperlink ref="H157" location="'Tablas1'!$A$37" display="Tablas1" xr:uid="{A461E3DB-97E4-462A-A25E-8292876A0868}"/>
    <hyperlink ref="H158" location="'Tablas1'!$A$37" display="Tablas1" xr:uid="{A51C8621-8F85-4D3A-9BB3-76A74529AA21}"/>
    <hyperlink ref="H159" location="'Tablas1'!$A$37" display="Tablas1" xr:uid="{196FF21A-396E-48C3-9C12-7BF898914591}"/>
    <hyperlink ref="H160" location="'Tablas1'!$A$37" display="Tablas1" xr:uid="{63176962-A53E-48FB-8977-D5AC834244F5}"/>
    <hyperlink ref="H161" location="'Tablas1'!$A$37" display="Tablas1" xr:uid="{D2938836-16EE-469F-9F39-13A1C0807EE1}"/>
    <hyperlink ref="H162" location="'Tablas1'!$A$37" display="Tablas1" xr:uid="{2F155B28-9449-43F4-8FEC-E99821A21B51}"/>
    <hyperlink ref="H163" location="'Tablas1'!$A$37" display="Tablas1" xr:uid="{7B57F408-8ECD-46A5-9A1B-D527D5586968}"/>
    <hyperlink ref="H164" location="'Tablas1'!$A$37" display="Tablas1" xr:uid="{6689D397-AF6B-4518-BFBF-0C4C79B7615B}"/>
    <hyperlink ref="H165" location="'Tablas1'!$A$37" display="Tablas1" xr:uid="{743B9E68-C35E-4A68-8264-44DC463D2B5F}"/>
    <hyperlink ref="H166" location="'Tablas1'!$A$37" display="Tablas1" xr:uid="{772BF7F0-BA4B-42AB-8982-9587028BE9E3}"/>
    <hyperlink ref="H167" location="'Tablas1'!$A$37" display="Tablas1" xr:uid="{EFA6E351-F9CA-4C7B-A472-73E419EE23DD}"/>
    <hyperlink ref="H168" location="'Tablas1'!$A$37" display="Tablas1" xr:uid="{1B7B1620-02ED-4BD3-B091-18A5F0E8CA64}"/>
    <hyperlink ref="H169" location="'Tablas1'!$A$37" display="Tablas1" xr:uid="{8763A5B5-5947-4A20-BCA5-2C2EAEE449BB}"/>
    <hyperlink ref="H170" location="'Tablas1'!$A$37" display="Tablas1" xr:uid="{35F7F0B8-73B7-4F5D-A55B-57E557D2AB14}"/>
    <hyperlink ref="H171" location="'Tablas1'!$A$37" display="Tablas1" xr:uid="{C864DC20-82EE-43D7-ACC0-87D79F13D9EE}"/>
    <hyperlink ref="H172" location="'Tablas1'!$A$195" display="Tablas1" xr:uid="{3934EAF6-7298-4D9B-BA19-D95C162EF3B8}"/>
    <hyperlink ref="H173" location="'Tablas1'!$A$195" display="Tablas1" xr:uid="{9987DB22-67CD-4D62-8FBF-FF13F7371111}"/>
    <hyperlink ref="H174" location="'Tablas1'!$A$202" display="Tablas1" xr:uid="{1DBDF39F-78FB-492A-82DE-E12A4071AFA6}"/>
    <hyperlink ref="H175" location="'Tablas1'!$A$202" display="Tablas1" xr:uid="{FB7D7A50-C5BD-4A74-BD5C-31C04ACDD39B}"/>
    <hyperlink ref="H176" location="'Tablas1'!$A$202" display="Tablas1" xr:uid="{EB4C9AE3-8120-46BE-8025-9AA2C05C9837}"/>
    <hyperlink ref="H177" location="'Tablas1'!$A$202" display="Tablas1" xr:uid="{7B780FC2-DDAC-497C-9957-8B5506727A22}"/>
    <hyperlink ref="H178" location="'Tablas2'!$A$5" display="Tablas2" xr:uid="{DD13B234-60CE-427E-9DCF-ADA905B9CCFB}"/>
    <hyperlink ref="H179" location="'Tablas2'!$A$5" display="Tablas2" xr:uid="{029FA786-A900-4FD3-8096-5A4E0C1EC294}"/>
    <hyperlink ref="H180" location="'No encontrada'!$0$0" display="No encontrada" xr:uid="{0A972081-B89D-426F-8640-C02BF39C7452}"/>
    <hyperlink ref="H182" location="'Tablas1'!$A$217" display="Tablas1" xr:uid="{5A5ED19B-0767-42DB-A57F-9AC180652CD8}"/>
    <hyperlink ref="H183" location="'Tablas1'!$A$225" display="Tablas1" xr:uid="{6B425F45-E325-4541-8CB4-C891506B4C2A}"/>
    <hyperlink ref="H184" location="'Tablas2'!$A$9" display="Tablas2" xr:uid="{AAEED7C7-7144-43E6-AE67-8B44F46F2C56}"/>
    <hyperlink ref="H185" location="'Tablas1'!$A$225" display="Tablas1" xr:uid="{ED96FA8D-C5EC-45B8-B632-26E5A315E991}"/>
    <hyperlink ref="H186" location="'Tablas2'!$A$9" display="Tablas2" xr:uid="{F0FC468D-BC69-45B2-96AC-171C58D3DBA5}"/>
    <hyperlink ref="H187" location="'Tablas1'!$A$37" display="Tablas1" xr:uid="{6CD1B53A-55C1-4FB9-8034-500770AAF863}"/>
    <hyperlink ref="H188" location="'Tablas2'!$A$9" display="Tablas2" xr:uid="{51553F84-534D-4D3B-811D-187655A2FDAA}"/>
    <hyperlink ref="H189" location="'Tablas2'!$A$9" display="Tablas2" xr:uid="{1AAEFBC3-F943-4CB6-97C2-5D68CD680334}"/>
    <hyperlink ref="H190" location="'Tablas1'!$A$37" display="Tablas1" xr:uid="{B451FB9B-BA28-4FB8-BFB8-CFB33752EEFE}"/>
    <hyperlink ref="H191" location="'Tablas2'!$A$13" display="Tablas2" xr:uid="{C297072D-242D-4EB5-995B-0E8420A13403}"/>
    <hyperlink ref="H192" location="'Tablas2'!$A$9" display="Tablas2" xr:uid="{6459E6EC-80D0-4A22-A68D-E930C8C63A3A}"/>
    <hyperlink ref="H193" location="'Tablas1'!$A$37" display="Tablas1" xr:uid="{3A3F9890-B3A5-4DD2-A78D-A87E61926966}"/>
    <hyperlink ref="H194" location="'Tablas2'!$A$9" display="Tablas2" xr:uid="{AA20716A-549A-43B1-8A14-DE58F45180C5}"/>
    <hyperlink ref="H195" location="'Tablas2'!$A$9" display="Tablas2" xr:uid="{6878CC9C-4DB6-4A8E-84BF-F25DCE4F402C}"/>
    <hyperlink ref="H196" location="'Tablas1'!$A$232" display="Tablas1" xr:uid="{5C242BC5-C3ED-43C5-8B10-5A8EE2B41C8E}"/>
    <hyperlink ref="H197" location="'Tablas1'!$A$32" display="Tablas1" xr:uid="{CDC0E334-4238-4E4F-829F-EEF351EAA0E9}"/>
    <hyperlink ref="H198" location="'Tablas1'!$A$32" display="Tablas1" xr:uid="{53D418EB-3C4C-4F59-A7B7-A28A90DDC868}"/>
    <hyperlink ref="H199" location="'Tablas1'!$A$32" display="Tablas1" xr:uid="{D2249F2D-676A-4B00-BCB4-78BD281DC2BF}"/>
    <hyperlink ref="H200" location="'Tablas1'!$A$32" display="Tablas1" xr:uid="{8FE40E53-9555-4454-AC35-7470927DBA0E}"/>
    <hyperlink ref="H201" location="'Tablas1'!$A$32" display="Tablas1" xr:uid="{EA325680-6136-4049-BCF1-373883AD1672}"/>
    <hyperlink ref="H202" location="'Tablas1'!$A$32" display="Tablas1" xr:uid="{E3A4CD26-CF63-4AF8-9E53-85DF98AB5061}"/>
    <hyperlink ref="H203" location="'Tablas1'!$A$32" display="Tablas1" xr:uid="{03895159-CCFC-4ABA-95C4-E7B2DFFC03E4}"/>
    <hyperlink ref="H204" location="'Tablas1'!$A$32" display="Tablas1" xr:uid="{EC5CE8EA-03EB-461A-99F4-198FF49876B6}"/>
    <hyperlink ref="H205" location="'Tablas1'!$A$32" display="Tablas1" xr:uid="{EC28776B-18A3-40FB-B0C3-C5290BC457FC}"/>
    <hyperlink ref="H206" location="'Tablas1'!$A$238" display="Tablas1" xr:uid="{D782F201-715C-42DB-AD57-13587CAF4120}"/>
    <hyperlink ref="H207" location="'Tablas2'!$A$9" display="Tablas2" xr:uid="{9EF3D70E-E298-4A07-A8D8-31CAA9CC0F06}"/>
    <hyperlink ref="H208" location="'Tablas1'!$A$238" display="Tablas1" xr:uid="{9524B7A8-362E-4C62-86CA-14A2E494E5E7}"/>
    <hyperlink ref="H209" location="'Tablas1'!$A$238" display="Tablas1" xr:uid="{6F0DD85E-F73B-4C5A-B1B3-6B64B257D57D}"/>
    <hyperlink ref="H210" location="'Tablas1'!$A$238" display="Tablas1" xr:uid="{323FDF39-8F4C-43B8-8123-D1D5FC952978}"/>
    <hyperlink ref="H211" location="'Tablas1'!$A$238" display="Tablas1" xr:uid="{865C2D13-546E-4CC7-8564-FDC505719EA2}"/>
    <hyperlink ref="H212" location="'Tablas1'!$A$238" display="Tablas1" xr:uid="{EC09C982-901E-4DA3-84DE-65460E2F2406}"/>
    <hyperlink ref="H213" location="'Tablas1'!$A$238" display="Tablas1" xr:uid="{5D201626-C19A-4014-948D-EA79AC00AFE9}"/>
    <hyperlink ref="H214" location="'Tablas2'!$A$9" display="Tablas2" xr:uid="{D2D357B2-AD36-42D8-A9B0-490B4B2BFD8A}"/>
    <hyperlink ref="H215" location="'Tablas1'!$A$238" display="Tablas1" xr:uid="{B06CA319-A24B-472C-810D-25231B6D0F1D}"/>
    <hyperlink ref="H216" location="'Tablas1'!$A$238" display="Tablas1" xr:uid="{657D3B85-356F-463A-B47E-950BF1153697}"/>
    <hyperlink ref="H217" location="'Tablas1'!$A$238" display="Tablas1" xr:uid="{BAE3E36A-107E-4CD1-B63C-C44D2BB2B6EF}"/>
    <hyperlink ref="H218" location="'Tablas1'!$A$238" display="Tablas1" xr:uid="{BA461091-9CD4-487F-89F3-9D309AEA8062}"/>
    <hyperlink ref="H219" location="'Tablas1'!$A$238" display="Tablas1" xr:uid="{148CFF6E-3C89-400F-ADFA-1FC51BF5E022}"/>
    <hyperlink ref="H220" location="'Tablas1'!$A$238" display="Tablas1" xr:uid="{A7CD0954-C2DB-4098-90EF-DB584AD4BDEC}"/>
    <hyperlink ref="H221" location="'Tablas1'!$A$238" display="Tablas1" xr:uid="{A7164D8F-A9FE-437C-B991-DA53708C57F6}"/>
    <hyperlink ref="H222" location="'Tablas1'!$A$238" display="Tablas1" xr:uid="{9617E5DE-D2AE-4515-AFD5-5069AF5A3C5B}"/>
    <hyperlink ref="H223" location="'Tablas2'!$A$9" display="Tablas2" xr:uid="{4F64E883-04A1-4C63-815F-5D2CFE882496}"/>
    <hyperlink ref="H224" location="'Tablas1'!$A$37" display="Tablas1" xr:uid="{F2616230-3615-4BEB-B734-E3BC16629130}"/>
    <hyperlink ref="H225" location="'Tablas2'!$A$9" display="Tablas2" xr:uid="{E4CFF428-4C4C-46FB-A068-CE508D76D6FC}"/>
    <hyperlink ref="H226" location="'Tablas1'!$A$37" display="Tablas1" xr:uid="{6BD28EE7-C807-4157-B0E7-D6855D4E9BF9}"/>
    <hyperlink ref="H227" location="'Tablas1'!$A$248" display="Tablas1" xr:uid="{FE6900AE-2587-4AB4-BCA4-3441F5BC7633}"/>
    <hyperlink ref="H228" location="'Tablas1'!$A$257" display="Tablas1" xr:uid="{EAE758CA-8E7C-4760-9434-F507D0EF1F37}"/>
    <hyperlink ref="H229" location="'Tablas1'!$A$32" display="Tablas1" xr:uid="{428E64A7-CEFC-4627-9F90-16118990B1D1}"/>
    <hyperlink ref="H230" location="'Tablas1'!$A$32" display="Tablas1" xr:uid="{0B7FCC8D-7DE0-4848-B005-AC5041F06FB7}"/>
    <hyperlink ref="H231" location="'Tablas1'!$A$32" display="Tablas1" xr:uid="{D618F8F0-5E92-4A17-B5DC-DE935733F295}"/>
    <hyperlink ref="H232" location="'Tablas1'!$A$32" display="Tablas1" xr:uid="{BBC5E1F2-5DFC-4B2E-A67D-886E171DB6E4}"/>
    <hyperlink ref="H233" location="'Tablas1'!$A$266" display="Tablas1" xr:uid="{365FA370-4F66-4AF5-8EAF-0D5B303BD480}"/>
    <hyperlink ref="H234" location="'Tablas1'!$A$274" display="Tablas1" xr:uid="{F3AE00EE-FA2F-4478-A01A-00047136AF41}"/>
    <hyperlink ref="H236" location="'Tablas1'!$A$280" display="Tablas1" xr:uid="{AC886B9D-AB74-4BF3-8735-10DE97C0530C}"/>
    <hyperlink ref="H237" location="'Tablas2'!$A$9" display="Tablas2" xr:uid="{78962322-4EA7-4A63-BC9D-31DF5316EEC7}"/>
    <hyperlink ref="H238" location="'Tablas2'!$A$9" display="Tablas2" xr:uid="{0ED16AB4-351E-4D8E-A7B8-CE51CB9B54C9}"/>
    <hyperlink ref="H239" location="'Tablas2'!$A$9" display="Tablas2" xr:uid="{DFC5B42F-B986-4A3E-8C27-8BF04AA2DF7E}"/>
    <hyperlink ref="H240" location="'Tablas2'!$A$9" display="Tablas2" xr:uid="{7FC84346-2345-4E0A-92AA-E604D6AD1796}"/>
    <hyperlink ref="H241" location="'Tablas2'!$A$9" display="Tablas2" xr:uid="{210EFB7C-15A9-41C8-9917-67D99D4B600A}"/>
    <hyperlink ref="H242" location="'Tablas2'!$A$9" display="Tablas2" xr:uid="{92C1EB26-4B61-4F9C-A5CB-B52188C00311}"/>
  </hyperlinks>
  <pageMargins left="0.75" right="0.75" top="1" bottom="1" header="0" footer="0"/>
  <pageSetup paperSize="9" scale="52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87"/>
  <sheetViews>
    <sheetView topLeftCell="A206" zoomScaleNormal="100" workbookViewId="0">
      <selection activeCell="A227" sqref="A227:B230"/>
    </sheetView>
  </sheetViews>
  <sheetFormatPr defaultColWidth="11.44140625" defaultRowHeight="13.2" x14ac:dyDescent="0.25"/>
  <cols>
    <col min="1" max="1" width="22.88671875" style="6" customWidth="1"/>
    <col min="2" max="2" width="30.6640625" style="7" customWidth="1"/>
    <col min="3" max="3" width="25.6640625" style="7" customWidth="1"/>
    <col min="4" max="4" width="11.44140625" style="7"/>
    <col min="5" max="5" width="12.6640625" style="7" customWidth="1"/>
    <col min="6" max="16384" width="11.44140625" style="7"/>
  </cols>
  <sheetData>
    <row r="1" spans="1:5" ht="13.2" customHeight="1" x14ac:dyDescent="0.25">
      <c r="B1" s="6"/>
    </row>
    <row r="2" spans="1:5" x14ac:dyDescent="0.25">
      <c r="A2" s="8"/>
      <c r="B2" s="9"/>
    </row>
    <row r="4" spans="1:5" x14ac:dyDescent="0.25">
      <c r="C4" s="121" t="s">
        <v>711</v>
      </c>
      <c r="E4" s="122" t="s">
        <v>712</v>
      </c>
    </row>
    <row r="5" spans="1:5" x14ac:dyDescent="0.25">
      <c r="A5" s="14" t="s">
        <v>189</v>
      </c>
      <c r="C5" s="123" t="s">
        <v>157</v>
      </c>
    </row>
    <row r="6" spans="1:5" x14ac:dyDescent="0.25">
      <c r="A6" s="6" t="s">
        <v>199</v>
      </c>
      <c r="B6" s="7" t="s">
        <v>198</v>
      </c>
    </row>
    <row r="7" spans="1:5" x14ac:dyDescent="0.25">
      <c r="A7" s="104" t="s">
        <v>73</v>
      </c>
      <c r="B7" s="7" t="s">
        <v>74</v>
      </c>
    </row>
    <row r="8" spans="1:5" x14ac:dyDescent="0.25">
      <c r="A8" s="104" t="s">
        <v>75</v>
      </c>
      <c r="B8" s="7" t="s">
        <v>76</v>
      </c>
    </row>
    <row r="9" spans="1:5" x14ac:dyDescent="0.25">
      <c r="A9" s="104" t="s">
        <v>77</v>
      </c>
      <c r="B9" s="7" t="s">
        <v>47</v>
      </c>
    </row>
    <row r="10" spans="1:5" x14ac:dyDescent="0.25">
      <c r="A10" s="104" t="s">
        <v>78</v>
      </c>
      <c r="B10" s="7" t="s">
        <v>48</v>
      </c>
    </row>
    <row r="11" spans="1:5" x14ac:dyDescent="0.25">
      <c r="A11" s="104" t="s">
        <v>79</v>
      </c>
      <c r="B11" s="7" t="s">
        <v>80</v>
      </c>
    </row>
    <row r="12" spans="1:5" x14ac:dyDescent="0.25">
      <c r="A12" s="104" t="s">
        <v>81</v>
      </c>
      <c r="B12" s="7" t="s">
        <v>82</v>
      </c>
    </row>
    <row r="13" spans="1:5" x14ac:dyDescent="0.25">
      <c r="A13" s="104" t="s">
        <v>83</v>
      </c>
      <c r="B13" s="7" t="s">
        <v>84</v>
      </c>
    </row>
    <row r="14" spans="1:5" x14ac:dyDescent="0.25">
      <c r="A14" s="104" t="s">
        <v>85</v>
      </c>
      <c r="B14" s="7" t="s">
        <v>179</v>
      </c>
    </row>
    <row r="15" spans="1:5" x14ac:dyDescent="0.25">
      <c r="A15" s="104" t="s">
        <v>86</v>
      </c>
      <c r="B15" s="7" t="s">
        <v>87</v>
      </c>
    </row>
    <row r="16" spans="1:5" x14ac:dyDescent="0.25">
      <c r="A16" s="104" t="s">
        <v>88</v>
      </c>
      <c r="B16" s="7" t="s">
        <v>89</v>
      </c>
    </row>
    <row r="17" spans="1:3" x14ac:dyDescent="0.25">
      <c r="A17" s="104" t="s">
        <v>90</v>
      </c>
      <c r="B17" s="7" t="s">
        <v>91</v>
      </c>
    </row>
    <row r="18" spans="1:3" x14ac:dyDescent="0.25">
      <c r="A18" s="104" t="s">
        <v>92</v>
      </c>
      <c r="B18" s="7" t="s">
        <v>93</v>
      </c>
    </row>
    <row r="19" spans="1:3" x14ac:dyDescent="0.25">
      <c r="A19" s="104" t="s">
        <v>94</v>
      </c>
      <c r="B19" s="7" t="s">
        <v>49</v>
      </c>
    </row>
    <row r="20" spans="1:3" x14ac:dyDescent="0.25">
      <c r="A20" s="104" t="s">
        <v>95</v>
      </c>
      <c r="B20" s="7" t="s">
        <v>50</v>
      </c>
    </row>
    <row r="21" spans="1:3" x14ac:dyDescent="0.25">
      <c r="A21" s="104" t="s">
        <v>96</v>
      </c>
      <c r="B21" s="7" t="s">
        <v>51</v>
      </c>
    </row>
    <row r="22" spans="1:3" x14ac:dyDescent="0.25">
      <c r="A22" s="104" t="s">
        <v>97</v>
      </c>
      <c r="B22" s="7" t="s">
        <v>98</v>
      </c>
    </row>
    <row r="23" spans="1:3" x14ac:dyDescent="0.25">
      <c r="A23" s="104" t="s">
        <v>99</v>
      </c>
      <c r="B23" s="7" t="s">
        <v>52</v>
      </c>
    </row>
    <row r="24" spans="1:3" x14ac:dyDescent="0.25">
      <c r="A24" s="104" t="s">
        <v>100</v>
      </c>
      <c r="B24" s="7" t="s">
        <v>147</v>
      </c>
    </row>
    <row r="25" spans="1:3" x14ac:dyDescent="0.25">
      <c r="A25" s="104" t="s">
        <v>101</v>
      </c>
      <c r="B25" s="7" t="s">
        <v>53</v>
      </c>
    </row>
    <row r="26" spans="1:3" x14ac:dyDescent="0.25">
      <c r="A26" s="104"/>
    </row>
    <row r="27" spans="1:3" x14ac:dyDescent="0.25">
      <c r="A27" s="105" t="s">
        <v>190</v>
      </c>
      <c r="B27" s="10"/>
      <c r="C27" s="123" t="s">
        <v>713</v>
      </c>
    </row>
    <row r="28" spans="1:3" x14ac:dyDescent="0.25">
      <c r="A28" s="6" t="s">
        <v>199</v>
      </c>
      <c r="B28" s="7" t="s">
        <v>198</v>
      </c>
    </row>
    <row r="29" spans="1:3" x14ac:dyDescent="0.25">
      <c r="A29" s="6">
        <v>1</v>
      </c>
      <c r="B29" s="7" t="s">
        <v>148</v>
      </c>
    </row>
    <row r="30" spans="1:3" x14ac:dyDescent="0.25">
      <c r="A30" s="6">
        <v>2</v>
      </c>
      <c r="B30" s="7" t="s">
        <v>149</v>
      </c>
    </row>
    <row r="32" spans="1:3" x14ac:dyDescent="0.25">
      <c r="A32" s="14" t="s">
        <v>188</v>
      </c>
      <c r="C32" s="123" t="s">
        <v>714</v>
      </c>
    </row>
    <row r="33" spans="1:3" x14ac:dyDescent="0.25">
      <c r="A33" s="6" t="s">
        <v>199</v>
      </c>
      <c r="B33" s="7" t="s">
        <v>198</v>
      </c>
    </row>
    <row r="34" spans="1:3" x14ac:dyDescent="0.25">
      <c r="A34" s="6">
        <v>1</v>
      </c>
      <c r="B34" s="7" t="s">
        <v>150</v>
      </c>
    </row>
    <row r="35" spans="1:3" x14ac:dyDescent="0.25">
      <c r="A35" s="6">
        <v>2</v>
      </c>
      <c r="B35" s="7" t="s">
        <v>151</v>
      </c>
    </row>
    <row r="36" spans="1:3" x14ac:dyDescent="0.25">
      <c r="A36" s="106"/>
      <c r="B36" s="11"/>
    </row>
    <row r="37" spans="1:3" x14ac:dyDescent="0.25">
      <c r="A37" s="14" t="s">
        <v>260</v>
      </c>
      <c r="C37" s="123" t="s">
        <v>715</v>
      </c>
    </row>
    <row r="38" spans="1:3" x14ac:dyDescent="0.25">
      <c r="A38" s="6" t="s">
        <v>199</v>
      </c>
      <c r="B38" s="7" t="s">
        <v>198</v>
      </c>
    </row>
    <row r="39" spans="1:3" x14ac:dyDescent="0.25">
      <c r="A39" s="6">
        <v>1</v>
      </c>
      <c r="B39" s="7" t="s">
        <v>150</v>
      </c>
    </row>
    <row r="40" spans="1:3" x14ac:dyDescent="0.25">
      <c r="A40" s="6">
        <v>2</v>
      </c>
      <c r="B40" s="7" t="s">
        <v>151</v>
      </c>
    </row>
    <row r="41" spans="1:3" x14ac:dyDescent="0.25">
      <c r="A41" s="12">
        <v>9</v>
      </c>
      <c r="B41" s="13" t="s">
        <v>156</v>
      </c>
    </row>
    <row r="43" spans="1:3" x14ac:dyDescent="0.25">
      <c r="A43" s="14" t="s">
        <v>287</v>
      </c>
      <c r="B43" s="14"/>
      <c r="C43" s="123" t="s">
        <v>286</v>
      </c>
    </row>
    <row r="44" spans="1:3" x14ac:dyDescent="0.25">
      <c r="A44" s="6" t="s">
        <v>199</v>
      </c>
      <c r="B44" s="7" t="s">
        <v>198</v>
      </c>
    </row>
    <row r="45" spans="1:3" x14ac:dyDescent="0.25">
      <c r="A45" s="107">
        <v>1</v>
      </c>
      <c r="B45" s="13" t="s">
        <v>289</v>
      </c>
    </row>
    <row r="46" spans="1:3" x14ac:dyDescent="0.25">
      <c r="A46" s="107">
        <v>2</v>
      </c>
      <c r="B46" s="13" t="s">
        <v>288</v>
      </c>
    </row>
    <row r="47" spans="1:3" x14ac:dyDescent="0.25">
      <c r="A47" s="107">
        <v>3</v>
      </c>
      <c r="B47" s="13" t="s">
        <v>290</v>
      </c>
    </row>
    <row r="48" spans="1:3" x14ac:dyDescent="0.25">
      <c r="A48" s="107">
        <v>4</v>
      </c>
      <c r="B48" s="13" t="s">
        <v>291</v>
      </c>
    </row>
    <row r="49" spans="1:3" x14ac:dyDescent="0.25">
      <c r="A49" s="107">
        <v>5</v>
      </c>
      <c r="B49" s="13" t="s">
        <v>292</v>
      </c>
    </row>
    <row r="50" spans="1:3" x14ac:dyDescent="0.25">
      <c r="A50" s="107">
        <v>6</v>
      </c>
      <c r="B50" s="13" t="s">
        <v>152</v>
      </c>
    </row>
    <row r="51" spans="1:3" x14ac:dyDescent="0.25">
      <c r="A51" s="107">
        <v>7</v>
      </c>
      <c r="B51" s="13" t="s">
        <v>293</v>
      </c>
    </row>
    <row r="52" spans="1:3" x14ac:dyDescent="0.25">
      <c r="A52" s="107">
        <v>8</v>
      </c>
      <c r="B52" s="13" t="s">
        <v>153</v>
      </c>
    </row>
    <row r="53" spans="1:3" x14ac:dyDescent="0.25">
      <c r="A53" s="107"/>
      <c r="B53" s="13"/>
    </row>
    <row r="54" spans="1:3" x14ac:dyDescent="0.25">
      <c r="A54" s="14" t="s">
        <v>325</v>
      </c>
      <c r="B54" s="14"/>
      <c r="C54" s="123" t="s">
        <v>716</v>
      </c>
    </row>
    <row r="55" spans="1:3" x14ac:dyDescent="0.25">
      <c r="A55" s="6" t="s">
        <v>199</v>
      </c>
      <c r="B55" s="7" t="s">
        <v>198</v>
      </c>
    </row>
    <row r="56" spans="1:3" x14ac:dyDescent="0.25">
      <c r="A56" s="107">
        <v>1</v>
      </c>
      <c r="B56" s="7" t="s">
        <v>326</v>
      </c>
    </row>
    <row r="57" spans="1:3" x14ac:dyDescent="0.25">
      <c r="A57" s="107">
        <v>2</v>
      </c>
      <c r="B57" s="7" t="s">
        <v>289</v>
      </c>
    </row>
    <row r="58" spans="1:3" x14ac:dyDescent="0.25">
      <c r="A58" s="107">
        <v>3</v>
      </c>
      <c r="B58" s="7" t="s">
        <v>288</v>
      </c>
    </row>
    <row r="59" spans="1:3" x14ac:dyDescent="0.25">
      <c r="A59" s="107">
        <v>4</v>
      </c>
      <c r="B59" s="7" t="s">
        <v>291</v>
      </c>
    </row>
    <row r="60" spans="1:3" x14ac:dyDescent="0.25">
      <c r="A60" s="107">
        <v>5</v>
      </c>
      <c r="B60" s="7" t="s">
        <v>292</v>
      </c>
    </row>
    <row r="61" spans="1:3" x14ac:dyDescent="0.25">
      <c r="A61" s="107">
        <v>6</v>
      </c>
      <c r="B61" s="7" t="s">
        <v>327</v>
      </c>
    </row>
    <row r="62" spans="1:3" x14ac:dyDescent="0.25">
      <c r="A62" s="107">
        <v>7</v>
      </c>
      <c r="B62" s="7" t="s">
        <v>153</v>
      </c>
    </row>
    <row r="64" spans="1:3" x14ac:dyDescent="0.25">
      <c r="A64" s="105" t="s">
        <v>256</v>
      </c>
      <c r="C64" s="123" t="s">
        <v>717</v>
      </c>
    </row>
    <row r="65" spans="1:3" x14ac:dyDescent="0.25">
      <c r="A65" s="6" t="s">
        <v>199</v>
      </c>
      <c r="B65" s="7" t="s">
        <v>198</v>
      </c>
    </row>
    <row r="66" spans="1:3" x14ac:dyDescent="0.25">
      <c r="A66" s="6">
        <v>1</v>
      </c>
      <c r="B66" s="7" t="s">
        <v>2</v>
      </c>
    </row>
    <row r="67" spans="1:3" x14ac:dyDescent="0.25">
      <c r="A67" s="6">
        <v>2</v>
      </c>
      <c r="B67" s="7" t="s">
        <v>3</v>
      </c>
    </row>
    <row r="68" spans="1:3" x14ac:dyDescent="0.25">
      <c r="A68" s="6">
        <v>9</v>
      </c>
      <c r="B68" s="7" t="s">
        <v>156</v>
      </c>
    </row>
    <row r="70" spans="1:3" x14ac:dyDescent="0.25">
      <c r="A70" s="14" t="s">
        <v>257</v>
      </c>
      <c r="C70" s="123" t="s">
        <v>338</v>
      </c>
    </row>
    <row r="71" spans="1:3" x14ac:dyDescent="0.25">
      <c r="A71" s="6" t="s">
        <v>199</v>
      </c>
      <c r="B71" s="7" t="s">
        <v>198</v>
      </c>
    </row>
    <row r="72" spans="1:3" x14ac:dyDescent="0.25">
      <c r="A72" s="6">
        <v>1</v>
      </c>
      <c r="B72" s="7" t="s">
        <v>103</v>
      </c>
    </row>
    <row r="73" spans="1:3" x14ac:dyDescent="0.25">
      <c r="A73" s="6">
        <v>2</v>
      </c>
      <c r="B73" s="7" t="s">
        <v>104</v>
      </c>
    </row>
    <row r="74" spans="1:3" x14ac:dyDescent="0.25">
      <c r="A74" s="6">
        <v>3</v>
      </c>
      <c r="B74" s="7" t="s">
        <v>105</v>
      </c>
    </row>
    <row r="75" spans="1:3" x14ac:dyDescent="0.25">
      <c r="A75" s="6">
        <v>4</v>
      </c>
      <c r="B75" s="7" t="s">
        <v>106</v>
      </c>
    </row>
    <row r="76" spans="1:3" x14ac:dyDescent="0.25">
      <c r="A76" s="6">
        <v>5</v>
      </c>
      <c r="B76" s="7" t="s">
        <v>107</v>
      </c>
    </row>
    <row r="78" spans="1:3" x14ac:dyDescent="0.25">
      <c r="A78" s="14" t="s">
        <v>396</v>
      </c>
      <c r="C78" s="123" t="s">
        <v>366</v>
      </c>
    </row>
    <row r="79" spans="1:3" x14ac:dyDescent="0.25">
      <c r="A79" s="6" t="s">
        <v>199</v>
      </c>
      <c r="B79" s="7" t="s">
        <v>198</v>
      </c>
    </row>
    <row r="80" spans="1:3" x14ac:dyDescent="0.25">
      <c r="A80" s="6">
        <v>1</v>
      </c>
      <c r="B80" s="7" t="s">
        <v>4</v>
      </c>
    </row>
    <row r="81" spans="1:3" x14ac:dyDescent="0.25">
      <c r="A81" s="6">
        <v>2</v>
      </c>
      <c r="B81" s="7" t="s">
        <v>6</v>
      </c>
    </row>
    <row r="82" spans="1:3" x14ac:dyDescent="0.25">
      <c r="A82" s="6">
        <v>3</v>
      </c>
      <c r="B82" s="7" t="s">
        <v>5</v>
      </c>
    </row>
    <row r="83" spans="1:3" x14ac:dyDescent="0.25">
      <c r="A83" s="6">
        <v>9</v>
      </c>
      <c r="B83" s="13" t="s">
        <v>156</v>
      </c>
    </row>
    <row r="84" spans="1:3" x14ac:dyDescent="0.25">
      <c r="B84" s="13"/>
    </row>
    <row r="85" spans="1:3" x14ac:dyDescent="0.25">
      <c r="A85" s="14" t="s">
        <v>397</v>
      </c>
      <c r="C85" s="123" t="s">
        <v>367</v>
      </c>
    </row>
    <row r="86" spans="1:3" x14ac:dyDescent="0.25">
      <c r="A86" s="6" t="s">
        <v>199</v>
      </c>
      <c r="B86" s="7" t="s">
        <v>198</v>
      </c>
    </row>
    <row r="87" spans="1:3" x14ac:dyDescent="0.25">
      <c r="A87" s="6">
        <v>1</v>
      </c>
      <c r="B87" s="7" t="s">
        <v>24</v>
      </c>
    </row>
    <row r="88" spans="1:3" x14ac:dyDescent="0.25">
      <c r="A88" s="6">
        <v>2</v>
      </c>
      <c r="B88" s="7" t="s">
        <v>25</v>
      </c>
    </row>
    <row r="89" spans="1:3" x14ac:dyDescent="0.25">
      <c r="A89" s="6">
        <v>3</v>
      </c>
      <c r="B89" s="7" t="s">
        <v>26</v>
      </c>
    </row>
    <row r="90" spans="1:3" x14ac:dyDescent="0.25">
      <c r="A90" s="6">
        <v>9</v>
      </c>
      <c r="B90" s="7" t="s">
        <v>156</v>
      </c>
    </row>
    <row r="92" spans="1:3" x14ac:dyDescent="0.25">
      <c r="A92" s="14" t="s">
        <v>419</v>
      </c>
      <c r="C92" s="123" t="s">
        <v>403</v>
      </c>
    </row>
    <row r="93" spans="1:3" x14ac:dyDescent="0.25">
      <c r="A93" s="6" t="s">
        <v>199</v>
      </c>
      <c r="B93" s="7" t="s">
        <v>198</v>
      </c>
    </row>
    <row r="94" spans="1:3" x14ac:dyDescent="0.25">
      <c r="A94" s="6">
        <v>1</v>
      </c>
      <c r="B94" s="6" t="s">
        <v>21</v>
      </c>
    </row>
    <row r="95" spans="1:3" x14ac:dyDescent="0.25">
      <c r="A95" s="6">
        <v>2</v>
      </c>
      <c r="B95" s="6" t="s">
        <v>22</v>
      </c>
    </row>
    <row r="96" spans="1:3" x14ac:dyDescent="0.25">
      <c r="A96" s="6">
        <v>3</v>
      </c>
      <c r="B96" s="6" t="s">
        <v>20</v>
      </c>
    </row>
    <row r="97" spans="1:3" x14ac:dyDescent="0.25">
      <c r="A97" s="6">
        <v>4</v>
      </c>
      <c r="B97" s="6" t="s">
        <v>23</v>
      </c>
    </row>
    <row r="98" spans="1:3" x14ac:dyDescent="0.25">
      <c r="A98" s="6">
        <v>9</v>
      </c>
      <c r="B98" s="7" t="s">
        <v>156</v>
      </c>
    </row>
    <row r="100" spans="1:3" x14ac:dyDescent="0.25">
      <c r="A100" s="14" t="s">
        <v>261</v>
      </c>
      <c r="C100" s="123" t="s">
        <v>423</v>
      </c>
    </row>
    <row r="101" spans="1:3" x14ac:dyDescent="0.25">
      <c r="A101" s="6" t="s">
        <v>199</v>
      </c>
      <c r="B101" s="7" t="s">
        <v>198</v>
      </c>
    </row>
    <row r="102" spans="1:3" x14ac:dyDescent="0.25">
      <c r="A102" s="6">
        <v>1</v>
      </c>
      <c r="B102" s="6" t="s">
        <v>159</v>
      </c>
    </row>
    <row r="103" spans="1:3" x14ac:dyDescent="0.25">
      <c r="A103" s="6">
        <v>2</v>
      </c>
      <c r="B103" s="6" t="s">
        <v>160</v>
      </c>
    </row>
    <row r="104" spans="1:3" x14ac:dyDescent="0.25">
      <c r="A104" s="6">
        <v>3</v>
      </c>
      <c r="B104" s="6" t="s">
        <v>161</v>
      </c>
    </row>
    <row r="105" spans="1:3" x14ac:dyDescent="0.25">
      <c r="A105" s="6">
        <v>4</v>
      </c>
      <c r="B105" s="6" t="s">
        <v>68</v>
      </c>
    </row>
    <row r="106" spans="1:3" x14ac:dyDescent="0.25">
      <c r="B106" s="6"/>
    </row>
    <row r="107" spans="1:3" x14ac:dyDescent="0.25">
      <c r="A107" s="14" t="s">
        <v>262</v>
      </c>
      <c r="C107" s="123" t="s">
        <v>426</v>
      </c>
    </row>
    <row r="108" spans="1:3" x14ac:dyDescent="0.25">
      <c r="A108" s="6" t="s">
        <v>199</v>
      </c>
      <c r="B108" s="7" t="s">
        <v>198</v>
      </c>
    </row>
    <row r="109" spans="1:3" x14ac:dyDescent="0.25">
      <c r="A109" s="6">
        <v>1</v>
      </c>
      <c r="B109" s="6" t="s">
        <v>159</v>
      </c>
    </row>
    <row r="110" spans="1:3" x14ac:dyDescent="0.25">
      <c r="A110" s="6">
        <v>2</v>
      </c>
      <c r="B110" s="6" t="s">
        <v>160</v>
      </c>
    </row>
    <row r="111" spans="1:3" x14ac:dyDescent="0.25">
      <c r="A111" s="6">
        <v>3</v>
      </c>
      <c r="B111" s="6" t="s">
        <v>161</v>
      </c>
    </row>
    <row r="112" spans="1:3" x14ac:dyDescent="0.25">
      <c r="A112" s="6">
        <v>4</v>
      </c>
      <c r="B112" s="6" t="s">
        <v>68</v>
      </c>
    </row>
    <row r="113" spans="1:3" x14ac:dyDescent="0.25">
      <c r="A113" s="6">
        <v>9</v>
      </c>
      <c r="B113" s="12" t="s">
        <v>156</v>
      </c>
    </row>
    <row r="115" spans="1:3" x14ac:dyDescent="0.25">
      <c r="A115" s="14" t="s">
        <v>263</v>
      </c>
      <c r="C115" s="123" t="s">
        <v>428</v>
      </c>
    </row>
    <row r="116" spans="1:3" x14ac:dyDescent="0.25">
      <c r="A116" s="6" t="s">
        <v>199</v>
      </c>
      <c r="B116" s="7" t="s">
        <v>198</v>
      </c>
    </row>
    <row r="117" spans="1:3" x14ac:dyDescent="0.25">
      <c r="A117" s="6">
        <v>1</v>
      </c>
      <c r="B117" t="s">
        <v>118</v>
      </c>
    </row>
    <row r="118" spans="1:3" x14ac:dyDescent="0.25">
      <c r="A118" s="6">
        <v>2</v>
      </c>
      <c r="B118" t="s">
        <v>433</v>
      </c>
    </row>
    <row r="119" spans="1:3" x14ac:dyDescent="0.25">
      <c r="A119" s="6">
        <v>3</v>
      </c>
      <c r="B119" t="s">
        <v>434</v>
      </c>
    </row>
    <row r="120" spans="1:3" x14ac:dyDescent="0.25">
      <c r="A120" s="6">
        <v>9</v>
      </c>
      <c r="B120" s="12" t="s">
        <v>420</v>
      </c>
    </row>
    <row r="122" spans="1:3" x14ac:dyDescent="0.25">
      <c r="A122" s="14" t="s">
        <v>431</v>
      </c>
      <c r="C122" s="123" t="s">
        <v>429</v>
      </c>
    </row>
    <row r="123" spans="1:3" x14ac:dyDescent="0.25">
      <c r="A123" s="6" t="s">
        <v>199</v>
      </c>
      <c r="B123" s="7" t="s">
        <v>198</v>
      </c>
    </row>
    <row r="124" spans="1:3" x14ac:dyDescent="0.25">
      <c r="A124" s="104" t="s">
        <v>73</v>
      </c>
      <c r="B124" s="7" t="s">
        <v>55</v>
      </c>
    </row>
    <row r="125" spans="1:3" x14ac:dyDescent="0.25">
      <c r="A125" s="104" t="s">
        <v>75</v>
      </c>
      <c r="B125" s="7" t="s">
        <v>56</v>
      </c>
    </row>
    <row r="126" spans="1:3" x14ac:dyDescent="0.25">
      <c r="A126" s="104" t="s">
        <v>77</v>
      </c>
      <c r="B126" s="7" t="s">
        <v>119</v>
      </c>
    </row>
    <row r="127" spans="1:3" x14ac:dyDescent="0.25">
      <c r="A127" s="104" t="s">
        <v>78</v>
      </c>
      <c r="B127" s="7" t="s">
        <v>120</v>
      </c>
    </row>
    <row r="128" spans="1:3" x14ac:dyDescent="0.25">
      <c r="A128" s="104" t="s">
        <v>79</v>
      </c>
      <c r="B128" s="7" t="s">
        <v>115</v>
      </c>
    </row>
    <row r="129" spans="1:3" x14ac:dyDescent="0.25">
      <c r="A129" s="104" t="s">
        <v>81</v>
      </c>
      <c r="B129" s="7" t="s">
        <v>121</v>
      </c>
    </row>
    <row r="130" spans="1:3" x14ac:dyDescent="0.25">
      <c r="A130" s="104" t="s">
        <v>83</v>
      </c>
      <c r="B130" s="7" t="s">
        <v>122</v>
      </c>
    </row>
    <row r="131" spans="1:3" x14ac:dyDescent="0.25">
      <c r="A131" s="104" t="s">
        <v>85</v>
      </c>
      <c r="B131" s="7" t="s">
        <v>435</v>
      </c>
    </row>
    <row r="132" spans="1:3" x14ac:dyDescent="0.25">
      <c r="A132" s="104" t="s">
        <v>86</v>
      </c>
      <c r="B132" s="7" t="s">
        <v>436</v>
      </c>
    </row>
    <row r="133" spans="1:3" x14ac:dyDescent="0.25">
      <c r="A133" s="6">
        <v>10</v>
      </c>
      <c r="B133" s="7" t="s">
        <v>123</v>
      </c>
    </row>
    <row r="134" spans="1:3" x14ac:dyDescent="0.25">
      <c r="A134" s="6">
        <v>11</v>
      </c>
      <c r="B134" s="7" t="s">
        <v>124</v>
      </c>
    </row>
    <row r="135" spans="1:3" x14ac:dyDescent="0.25">
      <c r="A135" s="6">
        <v>99</v>
      </c>
      <c r="B135" s="7" t="s">
        <v>156</v>
      </c>
    </row>
    <row r="137" spans="1:3" x14ac:dyDescent="0.25">
      <c r="A137" s="14" t="s">
        <v>432</v>
      </c>
      <c r="C137" s="123" t="s">
        <v>430</v>
      </c>
    </row>
    <row r="138" spans="1:3" x14ac:dyDescent="0.25">
      <c r="A138" s="6" t="s">
        <v>199</v>
      </c>
      <c r="B138" s="7" t="s">
        <v>198</v>
      </c>
    </row>
    <row r="139" spans="1:3" x14ac:dyDescent="0.25">
      <c r="A139" s="6">
        <v>1</v>
      </c>
      <c r="B139" s="6" t="s">
        <v>437</v>
      </c>
    </row>
    <row r="140" spans="1:3" x14ac:dyDescent="0.25">
      <c r="A140" s="6">
        <v>2</v>
      </c>
      <c r="B140" s="6" t="s">
        <v>126</v>
      </c>
    </row>
    <row r="141" spans="1:3" x14ac:dyDescent="0.25">
      <c r="A141" s="6">
        <v>3</v>
      </c>
      <c r="B141" s="6" t="s">
        <v>438</v>
      </c>
    </row>
    <row r="142" spans="1:3" x14ac:dyDescent="0.25">
      <c r="A142" s="6">
        <v>4</v>
      </c>
      <c r="B142" s="6" t="s">
        <v>125</v>
      </c>
    </row>
    <row r="143" spans="1:3" x14ac:dyDescent="0.25">
      <c r="A143" s="6">
        <v>9</v>
      </c>
      <c r="B143" s="12" t="s">
        <v>156</v>
      </c>
    </row>
    <row r="145" spans="1:3" x14ac:dyDescent="0.25">
      <c r="A145" s="14" t="s">
        <v>440</v>
      </c>
      <c r="B145" s="6"/>
      <c r="C145" s="123" t="s">
        <v>439</v>
      </c>
    </row>
    <row r="146" spans="1:3" x14ac:dyDescent="0.25">
      <c r="A146" s="6" t="s">
        <v>199</v>
      </c>
      <c r="B146" s="7" t="s">
        <v>198</v>
      </c>
    </row>
    <row r="147" spans="1:3" x14ac:dyDescent="0.25">
      <c r="A147" s="107">
        <v>1</v>
      </c>
      <c r="B147" s="6" t="s">
        <v>127</v>
      </c>
    </row>
    <row r="148" spans="1:3" x14ac:dyDescent="0.25">
      <c r="A148" s="107">
        <v>2</v>
      </c>
      <c r="B148" s="6" t="s">
        <v>128</v>
      </c>
    </row>
    <row r="149" spans="1:3" x14ac:dyDescent="0.25">
      <c r="A149" s="107">
        <v>3</v>
      </c>
      <c r="B149" s="6" t="s">
        <v>129</v>
      </c>
    </row>
    <row r="150" spans="1:3" x14ac:dyDescent="0.25">
      <c r="A150" s="107">
        <v>4</v>
      </c>
      <c r="B150" s="6" t="s">
        <v>441</v>
      </c>
    </row>
    <row r="151" spans="1:3" x14ac:dyDescent="0.25">
      <c r="A151" s="12">
        <v>9</v>
      </c>
      <c r="B151" s="12" t="s">
        <v>156</v>
      </c>
    </row>
    <row r="153" spans="1:3" x14ac:dyDescent="0.25">
      <c r="A153" s="14" t="s">
        <v>468</v>
      </c>
      <c r="C153" s="123" t="s">
        <v>456</v>
      </c>
    </row>
    <row r="154" spans="1:3" x14ac:dyDescent="0.25">
      <c r="A154" s="6" t="s">
        <v>199</v>
      </c>
      <c r="B154" s="7" t="s">
        <v>198</v>
      </c>
    </row>
    <row r="155" spans="1:3" x14ac:dyDescent="0.25">
      <c r="A155" s="107">
        <v>1</v>
      </c>
      <c r="B155" s="6" t="s">
        <v>130</v>
      </c>
    </row>
    <row r="156" spans="1:3" x14ac:dyDescent="0.25">
      <c r="A156" s="107">
        <v>2</v>
      </c>
      <c r="B156" s="6" t="s">
        <v>469</v>
      </c>
    </row>
    <row r="157" spans="1:3" x14ac:dyDescent="0.25">
      <c r="A157" s="107">
        <v>3</v>
      </c>
      <c r="B157" s="6" t="s">
        <v>470</v>
      </c>
    </row>
    <row r="158" spans="1:3" x14ac:dyDescent="0.25">
      <c r="A158" s="107">
        <v>4</v>
      </c>
      <c r="B158" s="6" t="s">
        <v>471</v>
      </c>
    </row>
    <row r="160" spans="1:3" x14ac:dyDescent="0.25">
      <c r="A160" s="14" t="s">
        <v>472</v>
      </c>
      <c r="B160" s="6"/>
      <c r="C160" s="123" t="s">
        <v>467</v>
      </c>
    </row>
    <row r="161" spans="1:3" x14ac:dyDescent="0.25">
      <c r="A161" s="6" t="s">
        <v>199</v>
      </c>
      <c r="B161" s="7" t="s">
        <v>198</v>
      </c>
    </row>
    <row r="162" spans="1:3" x14ac:dyDescent="0.25">
      <c r="A162" s="12">
        <v>1</v>
      </c>
      <c r="B162" s="12" t="s">
        <v>166</v>
      </c>
    </row>
    <row r="163" spans="1:3" x14ac:dyDescent="0.25">
      <c r="A163" s="12">
        <v>2</v>
      </c>
      <c r="B163" s="12" t="s">
        <v>128</v>
      </c>
    </row>
    <row r="164" spans="1:3" x14ac:dyDescent="0.25">
      <c r="A164" s="16">
        <v>3</v>
      </c>
      <c r="B164" s="12" t="s">
        <v>129</v>
      </c>
    </row>
    <row r="165" spans="1:3" x14ac:dyDescent="0.25">
      <c r="A165" s="16">
        <v>4</v>
      </c>
      <c r="B165" s="12" t="s">
        <v>131</v>
      </c>
    </row>
    <row r="166" spans="1:3" x14ac:dyDescent="0.25">
      <c r="A166" s="6">
        <v>9</v>
      </c>
      <c r="B166" s="7" t="s">
        <v>156</v>
      </c>
    </row>
    <row r="168" spans="1:3" x14ac:dyDescent="0.25">
      <c r="A168" s="14" t="s">
        <v>490</v>
      </c>
      <c r="B168" s="6"/>
      <c r="C168" s="123" t="s">
        <v>489</v>
      </c>
    </row>
    <row r="169" spans="1:3" x14ac:dyDescent="0.25">
      <c r="A169" s="6" t="s">
        <v>199</v>
      </c>
      <c r="B169" s="7" t="s">
        <v>198</v>
      </c>
    </row>
    <row r="170" spans="1:3" x14ac:dyDescent="0.25">
      <c r="A170" s="107">
        <v>1</v>
      </c>
      <c r="B170" s="6" t="s">
        <v>132</v>
      </c>
    </row>
    <row r="171" spans="1:3" x14ac:dyDescent="0.25">
      <c r="A171" s="107">
        <v>2</v>
      </c>
      <c r="B171" s="6" t="s">
        <v>133</v>
      </c>
    </row>
    <row r="172" spans="1:3" x14ac:dyDescent="0.25">
      <c r="A172" s="107">
        <v>3</v>
      </c>
      <c r="B172" s="6" t="s">
        <v>134</v>
      </c>
    </row>
    <row r="173" spans="1:3" x14ac:dyDescent="0.25">
      <c r="A173" s="107">
        <v>4</v>
      </c>
      <c r="B173" s="6" t="s">
        <v>125</v>
      </c>
    </row>
    <row r="174" spans="1:3" x14ac:dyDescent="0.25">
      <c r="A174" s="6">
        <v>9</v>
      </c>
      <c r="B174" s="7" t="s">
        <v>156</v>
      </c>
    </row>
    <row r="176" spans="1:3" x14ac:dyDescent="0.25">
      <c r="A176" s="14" t="s">
        <v>492</v>
      </c>
      <c r="C176" s="123" t="s">
        <v>491</v>
      </c>
    </row>
    <row r="177" spans="1:3" x14ac:dyDescent="0.25">
      <c r="A177" s="6" t="s">
        <v>199</v>
      </c>
      <c r="B177" s="7" t="s">
        <v>198</v>
      </c>
    </row>
    <row r="178" spans="1:3" x14ac:dyDescent="0.25">
      <c r="A178" s="107">
        <v>1</v>
      </c>
      <c r="B178" s="6" t="s">
        <v>127</v>
      </c>
    </row>
    <row r="179" spans="1:3" x14ac:dyDescent="0.25">
      <c r="A179" s="107">
        <v>2</v>
      </c>
      <c r="B179" s="6" t="s">
        <v>71</v>
      </c>
    </row>
    <row r="180" spans="1:3" x14ac:dyDescent="0.25">
      <c r="A180" s="107">
        <v>3</v>
      </c>
      <c r="B180" s="6" t="s">
        <v>72</v>
      </c>
    </row>
    <row r="181" spans="1:3" x14ac:dyDescent="0.25">
      <c r="A181" s="107">
        <v>4</v>
      </c>
      <c r="B181" s="6" t="s">
        <v>44</v>
      </c>
    </row>
    <row r="182" spans="1:3" x14ac:dyDescent="0.25">
      <c r="A182" s="107">
        <v>5</v>
      </c>
      <c r="B182" s="6" t="s">
        <v>45</v>
      </c>
    </row>
    <row r="183" spans="1:3" x14ac:dyDescent="0.25">
      <c r="A183" s="6">
        <v>9</v>
      </c>
      <c r="B183" s="7" t="s">
        <v>156</v>
      </c>
    </row>
    <row r="185" spans="1:3" x14ac:dyDescent="0.25">
      <c r="A185" s="14" t="s">
        <v>506</v>
      </c>
      <c r="B185" s="6"/>
      <c r="C185" s="123" t="s">
        <v>505</v>
      </c>
    </row>
    <row r="186" spans="1:3" x14ac:dyDescent="0.25">
      <c r="A186" s="6" t="s">
        <v>199</v>
      </c>
      <c r="B186" s="7" t="s">
        <v>198</v>
      </c>
    </row>
    <row r="187" spans="1:3" x14ac:dyDescent="0.25">
      <c r="A187" s="107">
        <v>1</v>
      </c>
      <c r="B187" s="6" t="s">
        <v>112</v>
      </c>
    </row>
    <row r="188" spans="1:3" x14ac:dyDescent="0.25">
      <c r="A188" s="107">
        <v>2</v>
      </c>
      <c r="B188" s="6" t="s">
        <v>111</v>
      </c>
    </row>
    <row r="189" spans="1:3" x14ac:dyDescent="0.25">
      <c r="A189" s="107">
        <v>3</v>
      </c>
      <c r="B189" s="6" t="s">
        <v>114</v>
      </c>
    </row>
    <row r="190" spans="1:3" x14ac:dyDescent="0.25">
      <c r="A190" s="107">
        <v>4</v>
      </c>
      <c r="B190" s="6" t="s">
        <v>113</v>
      </c>
    </row>
    <row r="191" spans="1:3" x14ac:dyDescent="0.25">
      <c r="A191" s="107">
        <v>5</v>
      </c>
      <c r="B191" s="6" t="s">
        <v>167</v>
      </c>
    </row>
    <row r="192" spans="1:3" x14ac:dyDescent="0.25">
      <c r="A192" s="16">
        <v>6</v>
      </c>
      <c r="B192" s="12" t="s">
        <v>110</v>
      </c>
    </row>
    <row r="193" spans="1:3" x14ac:dyDescent="0.25">
      <c r="A193" s="12">
        <v>9</v>
      </c>
      <c r="B193" s="13" t="s">
        <v>156</v>
      </c>
    </row>
    <row r="195" spans="1:3" x14ac:dyDescent="0.25">
      <c r="A195" s="105" t="s">
        <v>561</v>
      </c>
      <c r="B195" s="6"/>
      <c r="C195" s="123" t="s">
        <v>718</v>
      </c>
    </row>
    <row r="196" spans="1:3" x14ac:dyDescent="0.25">
      <c r="A196" s="6" t="s">
        <v>199</v>
      </c>
      <c r="B196" s="7" t="s">
        <v>198</v>
      </c>
    </row>
    <row r="197" spans="1:3" x14ac:dyDescent="0.25">
      <c r="A197" s="6">
        <v>1</v>
      </c>
      <c r="B197" s="7" t="s">
        <v>150</v>
      </c>
    </row>
    <row r="198" spans="1:3" x14ac:dyDescent="0.25">
      <c r="A198" s="6">
        <v>2</v>
      </c>
      <c r="B198" s="7" t="s">
        <v>151</v>
      </c>
    </row>
    <row r="199" spans="1:3" x14ac:dyDescent="0.25">
      <c r="A199" s="6">
        <v>3</v>
      </c>
      <c r="B199" s="7" t="s">
        <v>168</v>
      </c>
    </row>
    <row r="200" spans="1:3" x14ac:dyDescent="0.25">
      <c r="A200" s="12">
        <v>9</v>
      </c>
      <c r="B200" s="12" t="s">
        <v>156</v>
      </c>
    </row>
    <row r="201" spans="1:3" x14ac:dyDescent="0.25">
      <c r="A201" s="108"/>
    </row>
    <row r="202" spans="1:3" x14ac:dyDescent="0.25">
      <c r="A202" s="105" t="s">
        <v>562</v>
      </c>
      <c r="B202" s="6"/>
      <c r="C202" s="123" t="s">
        <v>719</v>
      </c>
    </row>
    <row r="203" spans="1:3" x14ac:dyDescent="0.25">
      <c r="A203" s="6" t="s">
        <v>199</v>
      </c>
      <c r="B203" s="7" t="s">
        <v>198</v>
      </c>
    </row>
    <row r="204" spans="1:3" x14ac:dyDescent="0.25">
      <c r="A204" s="6">
        <v>1</v>
      </c>
      <c r="B204" s="7" t="s">
        <v>150</v>
      </c>
    </row>
    <row r="205" spans="1:3" x14ac:dyDescent="0.25">
      <c r="A205" s="6">
        <v>2</v>
      </c>
      <c r="B205" s="7" t="s">
        <v>151</v>
      </c>
    </row>
    <row r="206" spans="1:3" x14ac:dyDescent="0.25">
      <c r="A206" s="6">
        <v>3</v>
      </c>
      <c r="B206" s="7" t="s">
        <v>175</v>
      </c>
    </row>
    <row r="207" spans="1:3" x14ac:dyDescent="0.25">
      <c r="A207" s="12">
        <v>9</v>
      </c>
      <c r="B207" s="12" t="s">
        <v>156</v>
      </c>
    </row>
    <row r="208" spans="1:3" x14ac:dyDescent="0.25">
      <c r="A208" s="12"/>
      <c r="B208" s="12"/>
    </row>
    <row r="209" spans="1:3" x14ac:dyDescent="0.25">
      <c r="A209" s="105" t="s">
        <v>570</v>
      </c>
      <c r="B209" s="6"/>
      <c r="C209" s="123" t="s">
        <v>719</v>
      </c>
    </row>
    <row r="210" spans="1:3" x14ac:dyDescent="0.25">
      <c r="A210" s="6" t="s">
        <v>199</v>
      </c>
      <c r="B210" s="7" t="s">
        <v>198</v>
      </c>
    </row>
    <row r="211" spans="1:3" x14ac:dyDescent="0.25">
      <c r="A211" s="6">
        <v>1</v>
      </c>
      <c r="B211" s="6" t="s">
        <v>571</v>
      </c>
    </row>
    <row r="212" spans="1:3" x14ac:dyDescent="0.25">
      <c r="A212" s="6">
        <v>2</v>
      </c>
      <c r="B212" s="6" t="s">
        <v>572</v>
      </c>
    </row>
    <row r="213" spans="1:3" x14ac:dyDescent="0.25">
      <c r="A213" s="6">
        <v>3</v>
      </c>
      <c r="B213" s="6" t="s">
        <v>573</v>
      </c>
    </row>
    <row r="214" spans="1:3" x14ac:dyDescent="0.25">
      <c r="A214" s="6">
        <v>4</v>
      </c>
      <c r="B214" s="6" t="s">
        <v>574</v>
      </c>
    </row>
    <row r="215" spans="1:3" x14ac:dyDescent="0.25">
      <c r="A215" s="12">
        <v>9</v>
      </c>
      <c r="B215" s="12" t="s">
        <v>156</v>
      </c>
    </row>
    <row r="216" spans="1:3" x14ac:dyDescent="0.25">
      <c r="A216" s="12"/>
      <c r="B216" s="12"/>
    </row>
    <row r="217" spans="1:3" x14ac:dyDescent="0.25">
      <c r="A217" s="14" t="s">
        <v>578</v>
      </c>
      <c r="C217" s="123" t="s">
        <v>577</v>
      </c>
    </row>
    <row r="218" spans="1:3" x14ac:dyDescent="0.25">
      <c r="A218" s="6" t="s">
        <v>199</v>
      </c>
      <c r="B218" s="7" t="s">
        <v>198</v>
      </c>
    </row>
    <row r="219" spans="1:3" x14ac:dyDescent="0.25">
      <c r="A219" s="6">
        <v>1</v>
      </c>
      <c r="B219" s="6" t="s">
        <v>579</v>
      </c>
    </row>
    <row r="220" spans="1:3" x14ac:dyDescent="0.25">
      <c r="A220" s="6">
        <v>2</v>
      </c>
      <c r="B220" s="6" t="s">
        <v>580</v>
      </c>
    </row>
    <row r="221" spans="1:3" x14ac:dyDescent="0.25">
      <c r="A221" s="12">
        <v>3</v>
      </c>
      <c r="B221" s="6" t="s">
        <v>581</v>
      </c>
    </row>
    <row r="222" spans="1:3" x14ac:dyDescent="0.25">
      <c r="A222" s="12">
        <v>4</v>
      </c>
      <c r="B222" s="6" t="s">
        <v>582</v>
      </c>
    </row>
    <row r="223" spans="1:3" x14ac:dyDescent="0.25">
      <c r="A223" s="12">
        <v>9</v>
      </c>
      <c r="B223" s="13" t="s">
        <v>156</v>
      </c>
    </row>
    <row r="225" spans="1:3" x14ac:dyDescent="0.25">
      <c r="A225" s="14" t="s">
        <v>583</v>
      </c>
      <c r="C225" s="123" t="s">
        <v>720</v>
      </c>
    </row>
    <row r="226" spans="1:3" x14ac:dyDescent="0.25">
      <c r="A226" s="6" t="s">
        <v>199</v>
      </c>
      <c r="B226" s="7" t="s">
        <v>198</v>
      </c>
    </row>
    <row r="227" spans="1:3" x14ac:dyDescent="0.25">
      <c r="A227" s="6">
        <v>1</v>
      </c>
      <c r="B227" s="6" t="s">
        <v>584</v>
      </c>
    </row>
    <row r="228" spans="1:3" x14ac:dyDescent="0.25">
      <c r="A228" s="6">
        <v>2</v>
      </c>
      <c r="B228" s="6" t="s">
        <v>585</v>
      </c>
    </row>
    <row r="229" spans="1:3" x14ac:dyDescent="0.25">
      <c r="A229" s="12">
        <v>3</v>
      </c>
      <c r="B229" s="6" t="s">
        <v>586</v>
      </c>
    </row>
    <row r="230" spans="1:3" x14ac:dyDescent="0.25">
      <c r="A230" s="6">
        <v>9</v>
      </c>
      <c r="B230" s="7" t="s">
        <v>156</v>
      </c>
    </row>
    <row r="232" spans="1:3" x14ac:dyDescent="0.25">
      <c r="A232" s="14" t="s">
        <v>264</v>
      </c>
      <c r="C232" s="123" t="s">
        <v>606</v>
      </c>
    </row>
    <row r="233" spans="1:3" x14ac:dyDescent="0.25">
      <c r="A233" s="6" t="s">
        <v>199</v>
      </c>
      <c r="B233" s="7" t="s">
        <v>198</v>
      </c>
    </row>
    <row r="234" spans="1:3" x14ac:dyDescent="0.25">
      <c r="A234" s="6">
        <v>1</v>
      </c>
      <c r="B234" t="s">
        <v>664</v>
      </c>
    </row>
    <row r="235" spans="1:3" x14ac:dyDescent="0.25">
      <c r="A235" s="6">
        <v>2</v>
      </c>
      <c r="B235" t="s">
        <v>665</v>
      </c>
    </row>
    <row r="236" spans="1:3" x14ac:dyDescent="0.25">
      <c r="A236" s="12">
        <v>3</v>
      </c>
      <c r="B236" t="s">
        <v>666</v>
      </c>
    </row>
    <row r="238" spans="1:3" x14ac:dyDescent="0.25">
      <c r="A238" s="14" t="s">
        <v>265</v>
      </c>
      <c r="B238" s="6"/>
      <c r="C238" s="123" t="s">
        <v>721</v>
      </c>
    </row>
    <row r="239" spans="1:3" x14ac:dyDescent="0.25">
      <c r="A239" s="6" t="s">
        <v>199</v>
      </c>
      <c r="B239" s="7" t="s">
        <v>198</v>
      </c>
    </row>
    <row r="240" spans="1:3" x14ac:dyDescent="0.25">
      <c r="A240" s="16">
        <v>1</v>
      </c>
      <c r="B240" s="16" t="s">
        <v>176</v>
      </c>
    </row>
    <row r="241" spans="1:3" x14ac:dyDescent="0.25">
      <c r="A241" s="16">
        <v>2</v>
      </c>
      <c r="B241" s="16" t="s">
        <v>177</v>
      </c>
    </row>
    <row r="242" spans="1:3" x14ac:dyDescent="0.25">
      <c r="A242" s="16">
        <v>3</v>
      </c>
      <c r="B242" s="16" t="s">
        <v>178</v>
      </c>
    </row>
    <row r="243" spans="1:3" x14ac:dyDescent="0.25">
      <c r="A243" s="16">
        <v>4</v>
      </c>
      <c r="B243" s="16" t="s">
        <v>69</v>
      </c>
    </row>
    <row r="244" spans="1:3" x14ac:dyDescent="0.25">
      <c r="A244" s="16">
        <v>5</v>
      </c>
      <c r="B244" s="16" t="s">
        <v>70</v>
      </c>
    </row>
    <row r="245" spans="1:3" x14ac:dyDescent="0.25">
      <c r="A245" s="16">
        <v>6</v>
      </c>
      <c r="B245" s="16" t="s">
        <v>68</v>
      </c>
    </row>
    <row r="246" spans="1:3" x14ac:dyDescent="0.25">
      <c r="A246" s="12">
        <v>9</v>
      </c>
      <c r="B246" s="13" t="s">
        <v>156</v>
      </c>
    </row>
    <row r="247" spans="1:3" x14ac:dyDescent="0.25">
      <c r="A247" s="12"/>
      <c r="B247" s="13"/>
    </row>
    <row r="248" spans="1:3" x14ac:dyDescent="0.25">
      <c r="A248" s="14" t="s">
        <v>266</v>
      </c>
      <c r="B248" s="6"/>
      <c r="C248" s="123" t="s">
        <v>637</v>
      </c>
    </row>
    <row r="249" spans="1:3" x14ac:dyDescent="0.25">
      <c r="A249" s="6" t="s">
        <v>199</v>
      </c>
      <c r="B249" s="7" t="s">
        <v>198</v>
      </c>
    </row>
    <row r="250" spans="1:3" x14ac:dyDescent="0.25">
      <c r="A250" s="16">
        <v>1</v>
      </c>
      <c r="B250" s="6" t="s">
        <v>640</v>
      </c>
    </row>
    <row r="251" spans="1:3" x14ac:dyDescent="0.25">
      <c r="A251" s="16">
        <v>2</v>
      </c>
      <c r="B251" s="6" t="s">
        <v>641</v>
      </c>
    </row>
    <row r="252" spans="1:3" x14ac:dyDescent="0.25">
      <c r="A252" s="16">
        <v>3</v>
      </c>
      <c r="B252" s="6" t="s">
        <v>642</v>
      </c>
    </row>
    <row r="253" spans="1:3" x14ac:dyDescent="0.25">
      <c r="A253" s="16">
        <v>4</v>
      </c>
      <c r="B253" s="6" t="s">
        <v>643</v>
      </c>
    </row>
    <row r="254" spans="1:3" x14ac:dyDescent="0.25">
      <c r="A254" s="16">
        <v>5</v>
      </c>
      <c r="B254" s="6" t="s">
        <v>644</v>
      </c>
    </row>
    <row r="255" spans="1:3" x14ac:dyDescent="0.25">
      <c r="A255" s="12">
        <v>9</v>
      </c>
      <c r="B255" s="13" t="s">
        <v>156</v>
      </c>
    </row>
    <row r="256" spans="1:3" x14ac:dyDescent="0.25">
      <c r="A256" s="12"/>
      <c r="B256" s="13"/>
    </row>
    <row r="257" spans="1:3" x14ac:dyDescent="0.25">
      <c r="A257" s="14" t="s">
        <v>267</v>
      </c>
      <c r="B257" s="6"/>
      <c r="C257" s="123" t="s">
        <v>667</v>
      </c>
    </row>
    <row r="258" spans="1:3" x14ac:dyDescent="0.25">
      <c r="A258" s="6" t="s">
        <v>199</v>
      </c>
      <c r="B258" s="7" t="s">
        <v>198</v>
      </c>
    </row>
    <row r="259" spans="1:3" x14ac:dyDescent="0.25">
      <c r="A259" s="16">
        <v>1</v>
      </c>
      <c r="B259" s="7" t="s">
        <v>68</v>
      </c>
    </row>
    <row r="260" spans="1:3" x14ac:dyDescent="0.25">
      <c r="A260" s="16">
        <v>2</v>
      </c>
      <c r="B260" s="7" t="s">
        <v>677</v>
      </c>
    </row>
    <row r="261" spans="1:3" x14ac:dyDescent="0.25">
      <c r="A261" s="16">
        <v>3</v>
      </c>
      <c r="B261" t="s">
        <v>678</v>
      </c>
    </row>
    <row r="262" spans="1:3" x14ac:dyDescent="0.25">
      <c r="A262" s="16">
        <v>4</v>
      </c>
      <c r="B262" t="s">
        <v>679</v>
      </c>
    </row>
    <row r="263" spans="1:3" x14ac:dyDescent="0.25">
      <c r="A263" s="16">
        <v>5</v>
      </c>
      <c r="B263" t="s">
        <v>680</v>
      </c>
    </row>
    <row r="264" spans="1:3" x14ac:dyDescent="0.25">
      <c r="A264" s="12">
        <v>9</v>
      </c>
      <c r="B264" s="13" t="s">
        <v>156</v>
      </c>
    </row>
    <row r="265" spans="1:3" x14ac:dyDescent="0.25">
      <c r="A265" s="12"/>
      <c r="B265" s="13"/>
    </row>
    <row r="266" spans="1:3" x14ac:dyDescent="0.25">
      <c r="A266" s="105" t="s">
        <v>685</v>
      </c>
      <c r="C266" s="123" t="s">
        <v>681</v>
      </c>
    </row>
    <row r="267" spans="1:3" x14ac:dyDescent="0.25">
      <c r="A267" s="6" t="s">
        <v>199</v>
      </c>
      <c r="B267" s="7" t="s">
        <v>198</v>
      </c>
    </row>
    <row r="268" spans="1:3" x14ac:dyDescent="0.25">
      <c r="A268" s="103">
        <v>1</v>
      </c>
      <c r="B268" s="7" t="s">
        <v>686</v>
      </c>
    </row>
    <row r="269" spans="1:3" x14ac:dyDescent="0.25">
      <c r="A269" s="12">
        <v>2</v>
      </c>
      <c r="B269" s="13" t="s">
        <v>687</v>
      </c>
    </row>
    <row r="270" spans="1:3" x14ac:dyDescent="0.25">
      <c r="A270" s="12">
        <v>3</v>
      </c>
      <c r="B270" s="13" t="s">
        <v>688</v>
      </c>
    </row>
    <row r="271" spans="1:3" x14ac:dyDescent="0.25">
      <c r="A271" s="12">
        <v>4</v>
      </c>
      <c r="B271" s="13" t="s">
        <v>689</v>
      </c>
    </row>
    <row r="272" spans="1:3" x14ac:dyDescent="0.25">
      <c r="A272" s="12">
        <v>9</v>
      </c>
      <c r="B272" s="13" t="s">
        <v>156</v>
      </c>
    </row>
    <row r="273" spans="1:3" x14ac:dyDescent="0.25">
      <c r="A273" s="109"/>
      <c r="B273" s="17"/>
    </row>
    <row r="274" spans="1:3" x14ac:dyDescent="0.25">
      <c r="A274" s="110" t="s">
        <v>690</v>
      </c>
      <c r="C274" s="123" t="s">
        <v>682</v>
      </c>
    </row>
    <row r="275" spans="1:3" x14ac:dyDescent="0.25">
      <c r="A275" s="6" t="s">
        <v>199</v>
      </c>
      <c r="B275" s="7" t="s">
        <v>198</v>
      </c>
    </row>
    <row r="276" spans="1:3" x14ac:dyDescent="0.25">
      <c r="A276" s="103">
        <v>1</v>
      </c>
      <c r="B276" s="7" t="s">
        <v>42</v>
      </c>
    </row>
    <row r="277" spans="1:3" x14ac:dyDescent="0.25">
      <c r="A277" s="12">
        <v>2</v>
      </c>
      <c r="B277" s="13" t="s">
        <v>220</v>
      </c>
    </row>
    <row r="278" spans="1:3" x14ac:dyDescent="0.25">
      <c r="A278" s="12">
        <v>3</v>
      </c>
      <c r="B278" s="13" t="s">
        <v>221</v>
      </c>
    </row>
    <row r="279" spans="1:3" x14ac:dyDescent="0.25">
      <c r="A279" s="111"/>
      <c r="B279" s="13"/>
    </row>
    <row r="280" spans="1:3" x14ac:dyDescent="0.25">
      <c r="A280" s="14" t="s">
        <v>200</v>
      </c>
      <c r="C280" s="123" t="s">
        <v>181</v>
      </c>
    </row>
    <row r="281" spans="1:3" x14ac:dyDescent="0.25">
      <c r="A281" s="6" t="s">
        <v>199</v>
      </c>
      <c r="B281" s="7" t="s">
        <v>198</v>
      </c>
    </row>
    <row r="282" spans="1:3" x14ac:dyDescent="0.25">
      <c r="A282" s="112">
        <v>1</v>
      </c>
      <c r="B282" s="15" t="s">
        <v>184</v>
      </c>
    </row>
    <row r="283" spans="1:3" x14ac:dyDescent="0.25">
      <c r="A283" s="112">
        <v>2</v>
      </c>
      <c r="B283" s="15" t="s">
        <v>185</v>
      </c>
    </row>
    <row r="284" spans="1:3" x14ac:dyDescent="0.25">
      <c r="A284" s="6">
        <v>3</v>
      </c>
      <c r="B284" s="7" t="s">
        <v>186</v>
      </c>
    </row>
    <row r="285" spans="1:3" x14ac:dyDescent="0.25">
      <c r="A285" s="112">
        <v>4</v>
      </c>
      <c r="B285" s="7" t="s">
        <v>187</v>
      </c>
    </row>
    <row r="286" spans="1:3" x14ac:dyDescent="0.25">
      <c r="A286" s="112">
        <v>9</v>
      </c>
      <c r="B286" s="7" t="s">
        <v>183</v>
      </c>
    </row>
    <row r="287" spans="1:3" x14ac:dyDescent="0.25">
      <c r="A287" s="112"/>
    </row>
  </sheetData>
  <phoneticPr fontId="0" type="noConversion"/>
  <hyperlinks>
    <hyperlink ref="C5" location="'Diseño'!$B$3" display="CCAA" xr:uid="{15E985AF-F828-4B44-8C3A-14CEBEAB7A36}"/>
    <hyperlink ref="C27" location="'Diseño'!$B$6" display="SEXOm *** (1 veces más)" xr:uid="{94D3FB63-2985-451D-B806-744244B9E53C}"/>
    <hyperlink ref="C32" location="'Diseño'!$B$8" display="Informante_1 *** (34 veces más)" xr:uid="{92F450F3-2CD6-4343-90D5-93FC447CA993}"/>
    <hyperlink ref="C37" location="'Diseño'!$B$36" display="B2_1am *** (96 veces más)" xr:uid="{73BBEEB8-C66B-4D88-A682-4D3D8EF1B9C9}"/>
    <hyperlink ref="C43" location="'Diseño'!$B$12" display="Informante_5" xr:uid="{B5B0C754-8E4B-4A96-AF3B-FD83F575C00F}"/>
    <hyperlink ref="C54" location="'Diseño'!$B$13" display="RP_1 *** (14 veces más)" xr:uid="{192B5355-1CA7-4D8D-A44B-424089A6CDDE}"/>
    <hyperlink ref="C64" location="'Diseño'!$B$28" display="A1m *** (2 veces más)" xr:uid="{760A1852-7996-43BB-9943-2542E1018F53}"/>
    <hyperlink ref="C70" location="'Diseño'!$B$35" display="B1m" xr:uid="{5C2BC8B4-C6B8-4894-8ED8-789E9AA6337B}"/>
    <hyperlink ref="C78" location="'Diseño'!$B$63" display="B3m" xr:uid="{7AC2F4D5-38CC-4500-8D55-5FFE1D63D2EA}"/>
    <hyperlink ref="C85" location="'Diseño'!$B$64" display="B4m" xr:uid="{21655A75-6337-444F-9EA9-2302516960D1}"/>
    <hyperlink ref="C92" location="'Diseño'!$B$69" display="C2m" xr:uid="{9186EC01-3320-4FE7-84B2-42C230481D34}"/>
    <hyperlink ref="C100" location="'Diseño'!$B$77" display="F1m" xr:uid="{4D935C4E-87DD-4937-855A-09A5234F96C9}"/>
    <hyperlink ref="C107" location="'Diseño'!$B$79" display="F2m" xr:uid="{BC8380F7-347F-41E8-BA48-A0A0EE8E81F7}"/>
    <hyperlink ref="C115" location="'Diseño'!$B$81" display="F3m" xr:uid="{077B1E73-FB48-40C4-ACB6-A7AFA2DBA1D1}"/>
    <hyperlink ref="C122" location="'Diseño'!$B$82" display="F4m" xr:uid="{31E97539-8B1F-481D-B3FC-741D8A512590}"/>
    <hyperlink ref="C137" location="'Diseño'!$B$83" display="F5m" xr:uid="{4D97E7BB-62B1-477F-91FB-21DCEEE12789}"/>
    <hyperlink ref="C145" location="'Diseño'!$B$84" display="F6m" xr:uid="{B4C5FB6A-692B-4CCC-863D-06C436D031F1}"/>
    <hyperlink ref="C153" location="'Diseño'!$B$97" display="F11m" xr:uid="{70EF219D-BC73-47C2-9B6F-DCBED464BA50}"/>
    <hyperlink ref="C160" location="'Diseño'!$B$108" display="F13m" xr:uid="{D6C6C1A8-8347-45D3-8ED0-EC9C16CAD5FC}"/>
    <hyperlink ref="C168" location="'Diseño'!$B$118" display="G2m" xr:uid="{32180CEC-4F73-4E96-BEF3-270573FD6F66}"/>
    <hyperlink ref="C176" location="'Diseño'!$B$119" display="G3m" xr:uid="{637D2C87-7152-4854-A636-F74D035E0C09}"/>
    <hyperlink ref="C185" location="'Diseño'!$B$132" display="G9m" xr:uid="{608D8112-3C8A-4739-8C69-7875806FAAA7}"/>
    <hyperlink ref="C195" location="'Diseño'!$B$172" display="I1m *** (1 veces más)" xr:uid="{277CFDC6-0471-4DB5-B027-0F86C3676F6C}"/>
    <hyperlink ref="C202" location="'Diseño'!$B$174" display="I3_1m *** (3 veces más)" xr:uid="{784D62DC-D9CB-4672-B2E4-A89D28002382}"/>
    <hyperlink ref="C209" location="'Diseño'!$B$174" display="I3_1m *** (3 veces más)" xr:uid="{8CF3FCEC-8A30-453A-9801-A7D385460D9F}"/>
    <hyperlink ref="C217" location="'Diseño'!$B$182" display="K2m" xr:uid="{CC5278D6-468E-48B4-95A6-4CE6AD7F1AC5}"/>
    <hyperlink ref="C225" location="'Diseño'!$B$183" display="K3m *** (1 veces más)" xr:uid="{7C126E07-A5CB-4EE1-B26A-3A1D949D17C5}"/>
    <hyperlink ref="C232" location="'Diseño'!$B$196" display="L7m" xr:uid="{A6DDC186-8E65-4C86-B35F-8A82E0B023A4}"/>
    <hyperlink ref="C238" location="'Diseño'!$B$206" display="L9_1m *** (14 veces más)" xr:uid="{5B248D56-C346-4535-AEBB-45C901878D44}"/>
    <hyperlink ref="C248" location="'Diseño'!$B$227" display="L11m" xr:uid="{FA07421A-5EA7-4170-AEDC-2BD399EE542E}"/>
    <hyperlink ref="C257" location="'Diseño'!$B$228" display="M1m" xr:uid="{08ACFB24-3D0C-47B5-9B45-5D1EA2354DBD}"/>
    <hyperlink ref="C266" location="'Diseño'!$B$233" display="N1m" xr:uid="{A6C271A0-81E1-46C3-954F-06AAA5FE3B5E}"/>
    <hyperlink ref="C274" location="'Diseño'!$B$234" display="N1am" xr:uid="{14C95997-EC9A-48DB-9B80-B8D1EF964CF8}"/>
    <hyperlink ref="C280" location="'Diseño'!$B$236" display="IMC" xr:uid="{B9675A93-8EE1-40D3-AEF7-B8DF8A29FB2A}"/>
  </hyperlinks>
  <pageMargins left="0.75" right="0.75" top="1" bottom="1" header="0" footer="0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9" sqref="A9"/>
    </sheetView>
  </sheetViews>
  <sheetFormatPr defaultColWidth="11.5546875" defaultRowHeight="13.2" x14ac:dyDescent="0.25"/>
  <cols>
    <col min="1" max="1" width="11.44140625" style="103"/>
    <col min="3" max="3" width="25.6640625" customWidth="1"/>
    <col min="5" max="5" width="12.6640625" customWidth="1"/>
  </cols>
  <sheetData>
    <row r="1" spans="1:5" x14ac:dyDescent="0.25">
      <c r="A1" s="6"/>
    </row>
    <row r="4" spans="1:5" x14ac:dyDescent="0.25">
      <c r="C4" s="124" t="s">
        <v>711</v>
      </c>
      <c r="E4" s="125" t="s">
        <v>712</v>
      </c>
    </row>
    <row r="5" spans="1:5" x14ac:dyDescent="0.25">
      <c r="A5" s="14" t="s">
        <v>208</v>
      </c>
      <c r="B5" s="7"/>
      <c r="C5" s="123" t="s">
        <v>722</v>
      </c>
      <c r="E5" t="s">
        <v>66</v>
      </c>
    </row>
    <row r="6" spans="1:5" x14ac:dyDescent="0.25">
      <c r="A6" s="6" t="s">
        <v>199</v>
      </c>
      <c r="B6" s="7" t="s">
        <v>198</v>
      </c>
    </row>
    <row r="7" spans="1:5" x14ac:dyDescent="0.25">
      <c r="A7" s="126">
        <v>999</v>
      </c>
      <c r="B7" s="7" t="s">
        <v>156</v>
      </c>
      <c r="C7" s="7"/>
      <c r="E7" t="s">
        <v>66</v>
      </c>
    </row>
    <row r="8" spans="1:5" x14ac:dyDescent="0.25">
      <c r="A8" s="6"/>
      <c r="B8" s="7"/>
      <c r="C8" s="7"/>
    </row>
    <row r="9" spans="1:5" x14ac:dyDescent="0.25">
      <c r="A9" s="14" t="s">
        <v>258</v>
      </c>
      <c r="B9" s="7"/>
      <c r="C9" s="123" t="s">
        <v>723</v>
      </c>
      <c r="E9" t="s">
        <v>66</v>
      </c>
    </row>
    <row r="10" spans="1:5" x14ac:dyDescent="0.25">
      <c r="A10" s="6" t="s">
        <v>199</v>
      </c>
      <c r="B10" s="7" t="s">
        <v>198</v>
      </c>
      <c r="C10" s="7"/>
    </row>
    <row r="11" spans="1:5" x14ac:dyDescent="0.25">
      <c r="A11" s="111">
        <v>99</v>
      </c>
      <c r="B11" s="12" t="s">
        <v>156</v>
      </c>
      <c r="C11" s="7"/>
      <c r="E11" t="s">
        <v>66</v>
      </c>
    </row>
    <row r="12" spans="1:5" x14ac:dyDescent="0.25">
      <c r="A12" s="6"/>
      <c r="B12" s="7"/>
      <c r="C12" s="7"/>
    </row>
    <row r="13" spans="1:5" s="2" customFormat="1" ht="15" x14ac:dyDescent="0.25">
      <c r="A13" s="14" t="s">
        <v>259</v>
      </c>
      <c r="B13" s="7"/>
      <c r="C13" s="123" t="s">
        <v>601</v>
      </c>
      <c r="E13" s="2" t="s">
        <v>66</v>
      </c>
    </row>
    <row r="14" spans="1:5" s="2" customFormat="1" ht="15" x14ac:dyDescent="0.25">
      <c r="A14" s="6" t="s">
        <v>199</v>
      </c>
      <c r="B14" s="7" t="s">
        <v>198</v>
      </c>
      <c r="C14" s="7"/>
    </row>
    <row r="15" spans="1:5" s="2" customFormat="1" ht="15" x14ac:dyDescent="0.25">
      <c r="A15" s="111">
        <v>9</v>
      </c>
      <c r="B15" s="13" t="s">
        <v>156</v>
      </c>
      <c r="C15" s="7"/>
      <c r="E15" s="2" t="s">
        <v>66</v>
      </c>
    </row>
    <row r="16" spans="1:5" x14ac:dyDescent="0.25">
      <c r="A16" s="6"/>
      <c r="B16" s="7"/>
      <c r="C16" s="7"/>
    </row>
    <row r="17" spans="1:3" x14ac:dyDescent="0.25">
      <c r="A17" s="14"/>
      <c r="B17" s="7"/>
      <c r="C17" s="7"/>
    </row>
    <row r="18" spans="1:3" x14ac:dyDescent="0.25">
      <c r="A18" s="6"/>
      <c r="B18" s="7"/>
      <c r="C18" s="7"/>
    </row>
    <row r="19" spans="1:3" x14ac:dyDescent="0.25">
      <c r="A19" s="12"/>
      <c r="B19" s="12"/>
      <c r="C19" s="7"/>
    </row>
    <row r="20" spans="1:3" x14ac:dyDescent="0.25">
      <c r="C20" s="7"/>
    </row>
  </sheetData>
  <hyperlinks>
    <hyperlink ref="C5" location="'Diseño'!$B$10" display="Informante_3 *** (5 veces más)" xr:uid="{DA462438-2D80-49F3-BEFE-EE0476A02BFC}"/>
    <hyperlink ref="C9" location="'Diseño'!$B$7" display="EDADm *** (27 veces más)" xr:uid="{5F8D82E4-8671-4B8C-9D73-E1E89BD54B55}"/>
    <hyperlink ref="C13" location="'Diseño'!$B$191" display="L4_1m" xr:uid="{58F73946-FBB4-4740-A6B4-C76BA385C95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Diseño</vt:lpstr>
      <vt:lpstr>Tablas1</vt:lpstr>
      <vt:lpstr>Tablas2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Juanita Mora</cp:lastModifiedBy>
  <cp:lastPrinted>2015-10-13T09:51:15Z</cp:lastPrinted>
  <dcterms:created xsi:type="dcterms:W3CDTF">2010-07-29T08:31:24Z</dcterms:created>
  <dcterms:modified xsi:type="dcterms:W3CDTF">2025-07-08T13:31:48Z</dcterms:modified>
</cp:coreProperties>
</file>